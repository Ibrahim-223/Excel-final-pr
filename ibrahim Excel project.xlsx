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Ibhrahim ansari\Desktop\"/>
    </mc:Choice>
  </mc:AlternateContent>
  <xr:revisionPtr revIDLastSave="0" documentId="13_ncr:1_{C9915171-847B-4515-AF2E-74397A057E26}" xr6:coauthVersionLast="47" xr6:coauthVersionMax="47" xr10:uidLastSave="{00000000-0000-0000-0000-000000000000}"/>
  <bookViews>
    <workbookView xWindow="-108" yWindow="-108" windowWidth="23256" windowHeight="12456" tabRatio="933" xr2:uid="{00000000-000D-0000-FFFF-FFFF00000000}"/>
  </bookViews>
  <sheets>
    <sheet name="Dashboard" sheetId="10" r:id="rId1"/>
    <sheet name="statistics" sheetId="2" r:id="rId2"/>
    <sheet name="Regrression" sheetId="4" r:id="rId3"/>
    <sheet name="Sales_Data" sheetId="1" r:id="rId4"/>
    <sheet name="product vs sales" sheetId="7" r:id="rId5"/>
    <sheet name="top customers" sheetId="5" r:id="rId6"/>
    <sheet name="sales by region" sheetId="6" r:id="rId7"/>
    <sheet name="product vs profit" sheetId="8" r:id="rId8"/>
    <sheet name="Region vs customer" sheetId="9" r:id="rId9"/>
    <sheet name="Region vs profit" sheetId="11" r:id="rId10"/>
    <sheet name="category wise sales" sheetId="13" r:id="rId11"/>
    <sheet name="Sheet15" sheetId="17" r:id="rId12"/>
  </sheets>
  <definedNames>
    <definedName name="Slicer_Customer_Name">#N/A</definedName>
    <definedName name="Slicer_Discount">#N/A</definedName>
    <definedName name="Slicer_Product_Category">#N/A</definedName>
    <definedName name="Slicer_Product_Name">#N/A</definedName>
    <definedName name="Slicer_Quantity">#N/A</definedName>
    <definedName name="Slicer_Region">#N/A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03" i="1" l="1"/>
  <c r="L503"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3" i="1"/>
  <c r="M4" i="1"/>
  <c r="M5" i="1"/>
  <c r="M6" i="1"/>
  <c r="M7" i="1"/>
  <c r="M8" i="1"/>
  <c r="M9" i="1"/>
  <c r="M10" i="1"/>
  <c r="M2" i="1"/>
  <c r="K9" i="10"/>
  <c r="B20" i="11"/>
  <c r="P8" i="10"/>
  <c r="F8" i="10"/>
</calcChain>
</file>

<file path=xl/sharedStrings.xml><?xml version="1.0" encoding="utf-8"?>
<sst xmlns="http://schemas.openxmlformats.org/spreadsheetml/2006/main" count="2624" uniqueCount="107">
  <si>
    <t>Order_ID</t>
  </si>
  <si>
    <t>Order_Date</t>
  </si>
  <si>
    <t>Customer_ID</t>
  </si>
  <si>
    <t>Customer_Name</t>
  </si>
  <si>
    <t>Region</t>
  </si>
  <si>
    <t>Product_Category</t>
  </si>
  <si>
    <t>Product_Name</t>
  </si>
  <si>
    <t>Unit_Price</t>
  </si>
  <si>
    <t>Quantity</t>
  </si>
  <si>
    <t>Discount</t>
  </si>
  <si>
    <t>Sales_Amount</t>
  </si>
  <si>
    <t>Profit</t>
  </si>
  <si>
    <t>C003</t>
  </si>
  <si>
    <t>Rohit Singh</t>
  </si>
  <si>
    <t>West</t>
  </si>
  <si>
    <t>Electronics</t>
  </si>
  <si>
    <t>Headphones</t>
  </si>
  <si>
    <t>C001</t>
  </si>
  <si>
    <t>Amit Sharma</t>
  </si>
  <si>
    <t>South</t>
  </si>
  <si>
    <t>Stationery</t>
  </si>
  <si>
    <t>Pen Set</t>
  </si>
  <si>
    <t>C002</t>
  </si>
  <si>
    <t>Neha Verma</t>
  </si>
  <si>
    <t>Smartphone</t>
  </si>
  <si>
    <t>C009</t>
  </si>
  <si>
    <t>Vikas Gupta</t>
  </si>
  <si>
    <t>C011</t>
  </si>
  <si>
    <t>Rahul Khanna</t>
  </si>
  <si>
    <t>North</t>
  </si>
  <si>
    <t>C005</t>
  </si>
  <si>
    <t>Karan Mehta</t>
  </si>
  <si>
    <t>East</t>
  </si>
  <si>
    <t>Furniture</t>
  </si>
  <si>
    <t>Bookshelf</t>
  </si>
  <si>
    <t>Laptop</t>
  </si>
  <si>
    <t>C006</t>
  </si>
  <si>
    <t>Sneha Iyer</t>
  </si>
  <si>
    <t>Diary</t>
  </si>
  <si>
    <t>C012</t>
  </si>
  <si>
    <t>Simran Kaur</t>
  </si>
  <si>
    <t>C004</t>
  </si>
  <si>
    <t>Priya Patel</t>
  </si>
  <si>
    <t>Office Chair</t>
  </si>
  <si>
    <t>Tablet</t>
  </si>
  <si>
    <t>Notebook Pack</t>
  </si>
  <si>
    <t>C008</t>
  </si>
  <si>
    <t>Pooja Nair</t>
  </si>
  <si>
    <t>C007</t>
  </si>
  <si>
    <t>Arjun Rao</t>
  </si>
  <si>
    <t>C010</t>
  </si>
  <si>
    <t>Anjali Das</t>
  </si>
  <si>
    <t>Study Table</t>
  </si>
  <si>
    <t>Column1</t>
  </si>
  <si>
    <t>Mean</t>
  </si>
  <si>
    <t>Standard Error</t>
  </si>
  <si>
    <t>Median</t>
  </si>
  <si>
    <t>Mode</t>
  </si>
  <si>
    <t>Standard Deviation</t>
  </si>
  <si>
    <t>Sample Variance</t>
  </si>
  <si>
    <t>Kurtosis</t>
  </si>
  <si>
    <t>Skewness</t>
  </si>
  <si>
    <t>Range</t>
  </si>
  <si>
    <t>Minimum</t>
  </si>
  <si>
    <t>Maximum</t>
  </si>
  <si>
    <t>Sum</t>
  </si>
  <si>
    <t>Count</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</si>
  <si>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</si>
  <si>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</si>
  <si>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</si>
  <si>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</si>
  <si>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</si>
  <si>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</si>
  <si>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</si>
  <si>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</si>
  <si>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</si>
  <si>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</si>
  <si>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</si>
  <si>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</si>
  <si>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</si>
  <si>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</si>
  <si>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</si>
  <si>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</si>
  <si>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</si>
  <si>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</si>
  <si>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</si>
  <si>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</si>
  <si>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</si>
  <si>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</si>
  <si>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</si>
  <si>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</si>
  <si>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Row Labels</t>
  </si>
  <si>
    <t>Grand Total</t>
  </si>
  <si>
    <t>Sum of Sales_Amount</t>
  </si>
  <si>
    <t>Sum of Profit</t>
  </si>
  <si>
    <t>Count of Customer_ID</t>
  </si>
  <si>
    <t>Sum of Unit_Price</t>
  </si>
  <si>
    <t>Month name</t>
  </si>
  <si>
    <t>current date/time</t>
  </si>
  <si>
    <t>Jan</t>
  </si>
  <si>
    <t>Feb</t>
  </si>
  <si>
    <t>Mar</t>
  </si>
  <si>
    <t>Apr</t>
  </si>
  <si>
    <t>May</t>
  </si>
  <si>
    <t>Jun</t>
  </si>
  <si>
    <t>Number of Customer</t>
  </si>
  <si>
    <t xml:space="preserv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</si>
</sst>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numFmt numFmtId="165" formatCode="0.0"/>
  </numFmts>
  <fonts count="15"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24"/>
      <color theme="1"/>
      <name val="Calibri"/>
      <family val="2"/>
      <scheme val="minor"/>
    </font>
    <font>
      <sz val="24"/>
      <color theme="1"/>
      <name val="Calibri"/>
      <family val="2"/>
      <scheme val="minor"/>
    </font>
    <font>
      <b/>
      <sz val="18"/>
      <color theme="1"/>
      <name val="Calibri"/>
      <family val="2"/>
      <scheme val="minor"/>
    </font>
    <font>
      <b/>
      <u/>
      <sz val="18"/>
      <color theme="1"/>
      <name val="Calibri"/>
      <family val="2"/>
      <scheme val="minor"/>
    </font>
    <font>
      <b/>
      <sz val="20"/>
      <color theme="1"/>
      <name val="Calibri"/>
      <family val="2"/>
      <scheme val="minor"/>
    </font>
    <font>
      <b/>
      <sz val="22"/>
      <color theme="1"/>
      <name val="Calibri"/>
      <family val="2"/>
      <scheme val="minor"/>
    </font>
    <font>
      <b/>
      <sz val="26"/>
      <color theme="1"/>
      <name val="Calibri"/>
      <family val="2"/>
      <scheme val="minor"/>
    </font>
    <font>
      <b/>
      <u val="double"/>
      <sz val="22"/>
      <color theme="1"/>
      <name val="Calibri"/>
      <family val="2"/>
      <scheme val="minor"/>
    </font>
    <font>
      <sz val="11"/>
      <color theme="2"/>
      <name val="Calibri"/>
      <family val="2"/>
      <scheme val="minor"/>
    </font>
    <font>
      <i/>
      <sz val="11"/>
      <color theme="2"/>
      <name val="Calibri"/>
      <family val="2"/>
      <scheme val="minor"/>
    </font>
    <font>
      <b/>
      <sz val="11"/>
      <color theme="1" tint="4.9989318521683403E-2"/>
      <name val="Calibri"/>
      <family val="2"/>
      <scheme val="minor"/>
    </font>
  </fonts>
  <fills count="6">
    <fill>
      <patternFill patternType="none"/>
    </fill>
    <fill>
      <patternFill patternType="gray125"/>
    </fill>
    <fill>
      <patternFill patternType="solid">
        <fgColor theme="7"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theme="2" tint="-9.9978637043366805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49">
    <xf numFmtId="0" fontId="0" fillId="0" borderId="0" xfId="0"/>
    <xf numFmtId="0" fontId="0" fillId="0" borderId="1" xfId="0" applyBorder="1"/>
    <xf numFmtId="164" fontId="0" fillId="0" borderId="1" xfId="0" applyNumberFormat="1" applyBorder="1"/>
    <xf numFmtId="0" fontId="0" fillId="0" borderId="2" xfId="0" applyBorder="1"/>
    <xf numFmtId="0" fontId="3" fillId="0" borderId="3" xfId="0" applyFont="1" applyBorder="1" applyAlignment="1">
      <alignment horizontal="center"/>
    </xf>
    <xf numFmtId="0" fontId="3" fillId="0" borderId="3" xfId="0" applyFont="1" applyBorder="1" applyAlignment="1">
      <alignment horizontal="centerContinuous"/>
    </xf>
    <xf numFmtId="0" fontId="0" fillId="0" borderId="0" xfId="0" pivotButton="1"/>
    <xf numFmtId="0" fontId="0" fillId="0" borderId="0" xfId="0" applyAlignment="1">
      <alignment horizontal="left"/>
    </xf>
    <xf numFmtId="22" fontId="0" fillId="0" borderId="0" xfId="0" applyNumberFormat="1"/>
    <xf numFmtId="14" fontId="0" fillId="0" borderId="0" xfId="0" applyNumberFormat="1"/>
    <xf numFmtId="0" fontId="0" fillId="2" borderId="0" xfId="0" applyFill="1"/>
    <xf numFmtId="44" fontId="4" fillId="0" borderId="0" xfId="1" applyFont="1"/>
    <xf numFmtId="44" fontId="5" fillId="0" borderId="0" xfId="0" applyNumberFormat="1" applyFont="1"/>
    <xf numFmtId="0" fontId="0" fillId="3" borderId="0" xfId="0" applyFill="1"/>
    <xf numFmtId="0" fontId="6" fillId="3" borderId="0" xfId="0" applyFont="1" applyFill="1"/>
    <xf numFmtId="0" fontId="6" fillId="3" borderId="8" xfId="0" applyFont="1" applyFill="1" applyBorder="1"/>
    <xf numFmtId="0" fontId="2" fillId="3" borderId="0" xfId="0" applyFont="1" applyFill="1"/>
    <xf numFmtId="0" fontId="2" fillId="3" borderId="8" xfId="0" applyFont="1" applyFill="1" applyBorder="1"/>
    <xf numFmtId="0" fontId="2" fillId="3" borderId="10" xfId="0" applyFont="1" applyFill="1" applyBorder="1"/>
    <xf numFmtId="0" fontId="2" fillId="3" borderId="11" xfId="0" applyFont="1" applyFill="1" applyBorder="1"/>
    <xf numFmtId="0" fontId="7" fillId="3" borderId="7" xfId="0" applyFont="1" applyFill="1" applyBorder="1"/>
    <xf numFmtId="0" fontId="7" fillId="3" borderId="0" xfId="0" applyFont="1" applyFill="1"/>
    <xf numFmtId="44" fontId="0" fillId="0" borderId="0" xfId="0" applyNumberFormat="1"/>
    <xf numFmtId="0" fontId="0" fillId="0" borderId="0" xfId="0" applyAlignment="1">
      <alignment horizontal="center"/>
    </xf>
    <xf numFmtId="0" fontId="14" fillId="5" borderId="1" xfId="0" applyFont="1" applyFill="1" applyBorder="1"/>
    <xf numFmtId="0" fontId="14" fillId="5" borderId="4" xfId="0" applyFont="1" applyFill="1" applyBorder="1"/>
    <xf numFmtId="0" fontId="14" fillId="5" borderId="0" xfId="0" applyFont="1" applyFill="1"/>
    <xf numFmtId="0" fontId="0" fillId="3" borderId="6" xfId="0" applyFill="1" applyBorder="1" applyAlignment="1">
      <alignment horizontal="center"/>
    </xf>
    <xf numFmtId="0" fontId="0" fillId="3" borderId="7" xfId="0" applyFill="1" applyBorder="1" applyAlignment="1">
      <alignment horizontal="center"/>
    </xf>
    <xf numFmtId="0" fontId="0" fillId="3" borderId="0" xfId="0" applyFill="1" applyAlignment="1">
      <alignment horizontal="center"/>
    </xf>
    <xf numFmtId="0" fontId="0" fillId="3" borderId="8"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11" fillId="3" borderId="5" xfId="0" applyFont="1" applyFill="1" applyBorder="1" applyAlignment="1">
      <alignment horizontal="center"/>
    </xf>
    <xf numFmtId="0" fontId="11" fillId="3" borderId="6" xfId="0" applyFont="1" applyFill="1" applyBorder="1" applyAlignment="1">
      <alignment horizontal="center"/>
    </xf>
    <xf numFmtId="165" fontId="9" fillId="3" borderId="0" xfId="0" applyNumberFormat="1" applyFont="1" applyFill="1" applyAlignment="1">
      <alignment horizontal="center" vertical="center"/>
    </xf>
    <xf numFmtId="0" fontId="8" fillId="3" borderId="4" xfId="0" applyFont="1" applyFill="1" applyBorder="1" applyAlignment="1">
      <alignment vertical="center"/>
    </xf>
    <xf numFmtId="0" fontId="8" fillId="3" borderId="0" xfId="0" applyFont="1" applyFill="1" applyAlignment="1">
      <alignment vertical="center"/>
    </xf>
    <xf numFmtId="0" fontId="8" fillId="3" borderId="9" xfId="0" applyFont="1" applyFill="1" applyBorder="1" applyAlignment="1">
      <alignment vertical="center"/>
    </xf>
    <xf numFmtId="0" fontId="8" fillId="3" borderId="10" xfId="0" applyFont="1" applyFill="1" applyBorder="1" applyAlignment="1">
      <alignment vertical="center"/>
    </xf>
    <xf numFmtId="0" fontId="10" fillId="3" borderId="4" xfId="0" applyFont="1" applyFill="1" applyBorder="1" applyAlignment="1">
      <alignment horizontal="center" vertical="center"/>
    </xf>
    <xf numFmtId="0" fontId="10" fillId="3" borderId="0" xfId="0" applyFont="1" applyFill="1" applyAlignment="1">
      <alignment horizontal="center" vertical="center"/>
    </xf>
    <xf numFmtId="0" fontId="10" fillId="3" borderId="9" xfId="0" applyFont="1" applyFill="1" applyBorder="1" applyAlignment="1">
      <alignment horizontal="center" vertical="center"/>
    </xf>
    <xf numFmtId="0" fontId="10" fillId="3" borderId="10" xfId="0" applyFont="1" applyFill="1" applyBorder="1" applyAlignment="1">
      <alignment horizontal="center" vertical="center"/>
    </xf>
    <xf numFmtId="0" fontId="11" fillId="3" borderId="5" xfId="0" applyFont="1" applyFill="1" applyBorder="1" applyAlignment="1">
      <alignment horizontal="left" vertical="top"/>
    </xf>
    <xf numFmtId="0" fontId="11" fillId="3" borderId="6" xfId="0" applyFont="1" applyFill="1" applyBorder="1" applyAlignment="1">
      <alignment horizontal="left" vertical="top"/>
    </xf>
    <xf numFmtId="0" fontId="11" fillId="3" borderId="0" xfId="0" applyFont="1" applyFill="1" applyAlignment="1">
      <alignment horizontal="left" vertical="top"/>
    </xf>
    <xf numFmtId="0" fontId="13" fillId="4" borderId="3" xfId="0" applyFont="1" applyFill="1" applyBorder="1" applyAlignment="1">
      <alignment horizontal="center"/>
    </xf>
    <xf numFmtId="0" fontId="12" fillId="4" borderId="0" xfId="0" applyFont="1" applyFill="1" applyAlignment="1">
      <alignment horizontal="center"/>
    </xf>
  </cellXfs>
  <cellStyles count="2">
    <cellStyle name="Currency" xfId="1" builtinId="4"/>
    <cellStyle name="Normal" xfId="0" builtinId="0"/>
  </cellStyles>
  <dxfs count="4">
    <dxf>
      <numFmt numFmtId="34" formatCode="_(&quot;$&quot;* #,##0.00_);_(&quot;$&quot;* \(#,##0.00\);_(&quot;$&quot;* &quot;-&quot;??_);_(@_)"/>
    </dxf>
    <dxf>
      <font>
        <sz val="24"/>
      </font>
    </dxf>
    <dxf>
      <alignment horizontal="center"/>
    </dxf>
    <dxf>
      <numFmt numFmtId="34" formatCode="_(&quot;$&quot;* #,##0.00_);_(&quot;$&quot;* \(#,##0.0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project.xlsx]top customers!PivotTable7</c:name>
    <c:fmtId val="13"/>
  </c:pivotSource>
  <c:chart>
    <c:title>
      <c:tx>
        <c:rich>
          <a:bodyPr rot="0" spcFirstLastPara="1" vertOverflow="ellipsis" vert="horz" wrap="square" anchor="ctr" anchorCtr="1"/>
          <a:lstStyle/>
          <a:p>
            <a:pPr>
              <a:defRPr sz="3200" b="1" i="0" u="none" strike="noStrike" kern="1200" baseline="0">
                <a:solidFill>
                  <a:schemeClr val="dk1"/>
                </a:solidFill>
                <a:latin typeface="+mn-lt"/>
                <a:ea typeface="+mn-ea"/>
                <a:cs typeface="+mn-cs"/>
              </a:defRPr>
            </a:pPr>
            <a:r>
              <a:rPr lang="en-US" sz="3200"/>
              <a:t>Top 5 Customers</a:t>
            </a:r>
          </a:p>
          <a:p>
            <a:pPr>
              <a:defRPr sz="3200"/>
            </a:pPr>
            <a:endParaRPr lang="en-US" sz="3200"/>
          </a:p>
        </c:rich>
      </c:tx>
      <c:overlay val="0"/>
      <c:spPr>
        <a:noFill/>
        <a:ln>
          <a:noFill/>
        </a:ln>
        <a:effectLst/>
      </c:spPr>
      <c:txPr>
        <a:bodyPr rot="0" spcFirstLastPara="1" vertOverflow="ellipsis" vert="horz" wrap="square" anchor="ctr" anchorCtr="1"/>
        <a:lstStyle/>
        <a:p>
          <a:pPr>
            <a:defRPr sz="32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0275234134522"/>
          <c:y val="0.14055990056381185"/>
          <c:w val="0.85388750715911488"/>
          <c:h val="0.66293729429061277"/>
        </c:manualLayout>
      </c:layout>
      <c:barChart>
        <c:barDir val="col"/>
        <c:grouping val="stacked"/>
        <c:varyColors val="0"/>
        <c:ser>
          <c:idx val="0"/>
          <c:order val="0"/>
          <c:tx>
            <c:strRef>
              <c:f>'top customers'!$B$3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'top customers'!$A$4:$A$9</c:f>
              <c:strCache>
                <c:ptCount val="5"/>
                <c:pt idx="0">
                  <c:v>Anjali Das</c:v>
                </c:pt>
                <c:pt idx="1">
                  <c:v>Arjun Rao</c:v>
                </c:pt>
                <c:pt idx="2">
                  <c:v>Neha Verma</c:v>
                </c:pt>
                <c:pt idx="3">
                  <c:v>Sneha Iyer</c:v>
                </c:pt>
                <c:pt idx="4">
                  <c:v>Vikas Gupta</c:v>
                </c:pt>
              </c:strCache>
            </c:strRef>
          </c:cat>
          <c:val>
            <c:numRef>
              <c:f>'top customers'!$B$4:$B$9</c:f>
              <c:numCache>
                <c:formatCode>General</c:formatCode>
                <c:ptCount val="5"/>
                <c:pt idx="0">
                  <c:v>1956842.5</c:v>
                </c:pt>
                <c:pt idx="1">
                  <c:v>1530687.5</c:v>
                </c:pt>
                <c:pt idx="2">
                  <c:v>1382865</c:v>
                </c:pt>
                <c:pt idx="3">
                  <c:v>1353315</c:v>
                </c:pt>
                <c:pt idx="4">
                  <c:v>2181742.5</c:v>
                </c:pt>
              </c:numCache>
            </c:numRef>
          </c:val>
          <c:extLst>
            <c:ext xmlns:c16="http://schemas.microsoft.com/office/drawing/2014/chart" uri="{C3380CC4-5D6E-409C-BE32-E72D297353CC}">
              <c16:uniqueId val="{00000000-A88B-4D68-9699-E60AB4C9D1E1}"/>
            </c:ext>
          </c:extLst>
        </c:ser>
        <c:dLbls>
          <c:showLegendKey val="0"/>
          <c:showVal val="0"/>
          <c:showCatName val="0"/>
          <c:showSerName val="0"/>
          <c:showPercent val="0"/>
          <c:showBubbleSize val="0"/>
        </c:dLbls>
        <c:gapWidth val="150"/>
        <c:overlap val="100"/>
        <c:axId val="1045834799"/>
        <c:axId val="1045834319"/>
      </c:barChart>
      <c:catAx>
        <c:axId val="10458347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crossAx val="1045834319"/>
        <c:crosses val="autoZero"/>
        <c:auto val="1"/>
        <c:lblAlgn val="ctr"/>
        <c:lblOffset val="100"/>
        <c:noMultiLvlLbl val="0"/>
      </c:catAx>
      <c:valAx>
        <c:axId val="10458343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crossAx val="1045834799"/>
        <c:crosses val="autoZero"/>
        <c:crossBetween val="between"/>
      </c:valA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innerShdw blurRad="63500" dist="50800" dir="5400000">
        <a:prstClr val="black">
          <a:alpha val="50000"/>
        </a:prstClr>
      </a:innerShdw>
    </a:effectLst>
    <a:scene3d>
      <a:camera prst="orthographicFront"/>
      <a:lightRig rig="threePt" dir="t"/>
    </a:scene3d>
    <a:sp3d>
      <a:bevelT/>
    </a:sp3d>
  </c:spPr>
  <c:txPr>
    <a:bodyPr/>
    <a:lstStyle/>
    <a:p>
      <a:pPr>
        <a:defRPr sz="12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project.xlsx]sales by region!PivotTable8</c:name>
    <c:fmtId val="12"/>
  </c:pivotSource>
  <c:chart>
    <c:title>
      <c:tx>
        <c:rich>
          <a:bodyPr rot="0" spcFirstLastPara="1" vertOverflow="ellipsis" vert="horz" wrap="square" anchor="ctr" anchorCtr="1"/>
          <a:lstStyle/>
          <a:p>
            <a:pPr>
              <a:defRPr sz="2000" b="1" i="0" u="none" strike="noStrike" kern="1200" baseline="0">
                <a:solidFill>
                  <a:schemeClr val="dk1"/>
                </a:solidFill>
                <a:latin typeface="+mn-lt"/>
                <a:ea typeface="+mn-ea"/>
                <a:cs typeface="+mn-cs"/>
              </a:defRPr>
            </a:pPr>
            <a:r>
              <a:rPr lang="en-IN" sz="2000"/>
              <a:t>Region wise sales</a:t>
            </a:r>
          </a:p>
        </c:rich>
      </c:tx>
      <c:layout>
        <c:manualLayout>
          <c:xMode val="edge"/>
          <c:yMode val="edge"/>
          <c:x val="0.28262022771618317"/>
          <c:y val="0"/>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45510533348257"/>
          <c:y val="0.13862132811410166"/>
          <c:w val="0.45092007682802449"/>
          <c:h val="0.84981167648090772"/>
        </c:manualLayout>
      </c:layout>
      <c:doughnutChart>
        <c:varyColors val="1"/>
        <c:ser>
          <c:idx val="0"/>
          <c:order val="0"/>
          <c:tx>
            <c:strRef>
              <c:f>'sales by region'!$B$3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DD5-4087-9BA6-70D1E426C8B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DD5-4087-9BA6-70D1E426C8B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DD5-4087-9BA6-70D1E426C8B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DD5-4087-9BA6-70D1E426C8BC}"/>
              </c:ext>
            </c:extLst>
          </c:dPt>
          <c:dLbls>
            <c:spPr>
              <a:solidFill>
                <a:sysClr val="window" lastClr="FFFFFF"/>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region'!$A$4:$A$8</c:f>
              <c:strCache>
                <c:ptCount val="4"/>
                <c:pt idx="0">
                  <c:v>East</c:v>
                </c:pt>
                <c:pt idx="1">
                  <c:v>North</c:v>
                </c:pt>
                <c:pt idx="2">
                  <c:v>South</c:v>
                </c:pt>
                <c:pt idx="3">
                  <c:v>West</c:v>
                </c:pt>
              </c:strCache>
            </c:strRef>
          </c:cat>
          <c:val>
            <c:numRef>
              <c:f>'sales by region'!$B$4:$B$8</c:f>
              <c:numCache>
                <c:formatCode>General</c:formatCode>
                <c:ptCount val="4"/>
                <c:pt idx="0">
                  <c:v>4239027.5</c:v>
                </c:pt>
                <c:pt idx="1">
                  <c:v>4143655</c:v>
                </c:pt>
                <c:pt idx="2">
                  <c:v>3926092.5</c:v>
                </c:pt>
                <c:pt idx="3">
                  <c:v>3866375</c:v>
                </c:pt>
              </c:numCache>
            </c:numRef>
          </c:val>
          <c:extLst>
            <c:ext xmlns:c16="http://schemas.microsoft.com/office/drawing/2014/chart" uri="{C3380CC4-5D6E-409C-BE32-E72D297353CC}">
              <c16:uniqueId val="{00000008-7DD5-4087-9BA6-70D1E426C8B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433390681965277"/>
          <c:y val="0.1923228959849474"/>
          <c:w val="0.19185165981685909"/>
          <c:h val="0.4919041616133840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tileRect/>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[ibrahim Excel project.xlsx]product vs sales!PivotTable9</c:name>
    <c:fmtId val="31"/>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vs sales'!$B$3</c:f>
              <c:strCache>
                <c:ptCount val="1"/>
                <c:pt idx="0">
                  <c:v>Total</c:v>
                </c:pt>
              </c:strCache>
            </c:strRef>
          </c:tx>
          <c:spPr>
            <a:solidFill>
              <a:schemeClr val="dk1">
                <a:tint val="88500"/>
              </a:schemeClr>
            </a:solidFill>
            <a:ln>
              <a:noFill/>
            </a:ln>
            <a:effectLst/>
          </c:spPr>
          <c:invertIfNegative val="0"/>
          <c:cat>
            <c:strRef>
              <c:f>'product vs sales'!$A$4:$A$14</c:f>
              <c:strCache>
                <c:ptCount val="10"/>
                <c:pt idx="0">
                  <c:v>Bookshelf</c:v>
                </c:pt>
                <c:pt idx="1">
                  <c:v>Diary</c:v>
                </c:pt>
                <c:pt idx="2">
                  <c:v>Headphones</c:v>
                </c:pt>
                <c:pt idx="3">
                  <c:v>Laptop</c:v>
                </c:pt>
                <c:pt idx="4">
                  <c:v>Notebook Pack</c:v>
                </c:pt>
                <c:pt idx="5">
                  <c:v>Office Chair</c:v>
                </c:pt>
                <c:pt idx="6">
                  <c:v>Pen Set</c:v>
                </c:pt>
                <c:pt idx="7">
                  <c:v>Smartphone</c:v>
                </c:pt>
                <c:pt idx="8">
                  <c:v>Study Table</c:v>
                </c:pt>
                <c:pt idx="9">
                  <c:v>Tablet</c:v>
                </c:pt>
              </c:strCache>
            </c:strRef>
          </c:cat>
          <c:val>
            <c:numRef>
              <c:f>'product vs sales'!$B$4:$B$14</c:f>
              <c:numCache>
                <c:formatCode>General</c:formatCode>
                <c:ptCount val="10"/>
                <c:pt idx="0">
                  <c:v>1170400</c:v>
                </c:pt>
                <c:pt idx="1">
                  <c:v>50155</c:v>
                </c:pt>
                <c:pt idx="2">
                  <c:v>364800</c:v>
                </c:pt>
                <c:pt idx="3">
                  <c:v>6193000</c:v>
                </c:pt>
                <c:pt idx="4">
                  <c:v>65825</c:v>
                </c:pt>
                <c:pt idx="5">
                  <c:v>1011750</c:v>
                </c:pt>
                <c:pt idx="6">
                  <c:v>29720</c:v>
                </c:pt>
                <c:pt idx="7">
                  <c:v>2899600</c:v>
                </c:pt>
                <c:pt idx="8">
                  <c:v>1968000</c:v>
                </c:pt>
                <c:pt idx="9">
                  <c:v>2421900</c:v>
                </c:pt>
              </c:numCache>
            </c:numRef>
          </c:val>
          <c:extLst>
            <c:ext xmlns:c16="http://schemas.microsoft.com/office/drawing/2014/chart" uri="{C3380CC4-5D6E-409C-BE32-E72D297353CC}">
              <c16:uniqueId val="{00000000-4F94-409A-842D-491A4776B48D}"/>
            </c:ext>
          </c:extLst>
        </c:ser>
        <c:dLbls>
          <c:showLegendKey val="0"/>
          <c:showVal val="0"/>
          <c:showCatName val="0"/>
          <c:showSerName val="0"/>
          <c:showPercent val="0"/>
          <c:showBubbleSize val="0"/>
        </c:dLbls>
        <c:gapWidth val="219"/>
        <c:overlap val="-27"/>
        <c:axId val="1591656303"/>
        <c:axId val="1591658223"/>
      </c:barChart>
      <c:catAx>
        <c:axId val="1591656303"/>
        <c:scaling>
          <c:orientation val="minMax"/>
        </c:scaling>
        <c:delete val="1"/>
        <c:axPos val="b"/>
        <c:numFmt formatCode="General" sourceLinked="1"/>
        <c:majorTickMark val="none"/>
        <c:minorTickMark val="none"/>
        <c:tickLblPos val="nextTo"/>
        <c:crossAx val="1591658223"/>
        <c:crosses val="autoZero"/>
        <c:auto val="1"/>
        <c:lblAlgn val="ctr"/>
        <c:lblOffset val="100"/>
        <c:noMultiLvlLbl val="0"/>
      </c:catAx>
      <c:valAx>
        <c:axId val="1591658223"/>
        <c:scaling>
          <c:orientation val="minMax"/>
        </c:scaling>
        <c:delete val="1"/>
        <c:axPos val="l"/>
        <c:numFmt formatCode="General" sourceLinked="1"/>
        <c:majorTickMark val="none"/>
        <c:minorTickMark val="none"/>
        <c:tickLblPos val="nextTo"/>
        <c:crossAx val="159165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[ibrahim Excel project.xlsx]Region vs profit!PivotTable12</c:name>
    <c:fmtId val="12"/>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66948944269758E-2"/>
          <c:y val="0.1381825192470266"/>
          <c:w val="0.90833333333333333"/>
          <c:h val="0.85549013360697457"/>
        </c:manualLayout>
      </c:layout>
      <c:barChart>
        <c:barDir val="bar"/>
        <c:grouping val="stacked"/>
        <c:varyColors val="0"/>
        <c:ser>
          <c:idx val="0"/>
          <c:order val="0"/>
          <c:tx>
            <c:strRef>
              <c:f>'Region vs profit'!$B$3</c:f>
              <c:strCache>
                <c:ptCount val="1"/>
                <c:pt idx="0">
                  <c:v>Total</c:v>
                </c:pt>
              </c:strCache>
            </c:strRef>
          </c:tx>
          <c:spPr>
            <a:solidFill>
              <a:schemeClr val="dk1">
                <a:tint val="88500"/>
              </a:schemeClr>
            </a:solidFill>
            <a:ln>
              <a:noFill/>
            </a:ln>
            <a:effectLst/>
          </c:spPr>
          <c:invertIfNegative val="0"/>
          <c:cat>
            <c:strRef>
              <c:f>'Region vs profit'!$A$4:$A$8</c:f>
              <c:strCache>
                <c:ptCount val="4"/>
                <c:pt idx="0">
                  <c:v>East</c:v>
                </c:pt>
                <c:pt idx="1">
                  <c:v>North</c:v>
                </c:pt>
                <c:pt idx="2">
                  <c:v>South</c:v>
                </c:pt>
                <c:pt idx="3">
                  <c:v>West</c:v>
                </c:pt>
              </c:strCache>
            </c:strRef>
          </c:cat>
          <c:val>
            <c:numRef>
              <c:f>'Region vs profit'!$B$4:$B$8</c:f>
              <c:numCache>
                <c:formatCode>General</c:formatCode>
                <c:ptCount val="4"/>
                <c:pt idx="0">
                  <c:v>993392.14999999956</c:v>
                </c:pt>
                <c:pt idx="1">
                  <c:v>1003030.53</c:v>
                </c:pt>
                <c:pt idx="2">
                  <c:v>929241.75999999978</c:v>
                </c:pt>
                <c:pt idx="3">
                  <c:v>956412.86</c:v>
                </c:pt>
              </c:numCache>
            </c:numRef>
          </c:val>
          <c:extLst>
            <c:ext xmlns:c16="http://schemas.microsoft.com/office/drawing/2014/chart" uri="{C3380CC4-5D6E-409C-BE32-E72D297353CC}">
              <c16:uniqueId val="{00000000-ABE9-4319-9A87-0102A6E43012}"/>
            </c:ext>
          </c:extLst>
        </c:ser>
        <c:dLbls>
          <c:showLegendKey val="0"/>
          <c:showVal val="0"/>
          <c:showCatName val="0"/>
          <c:showSerName val="0"/>
          <c:showPercent val="0"/>
          <c:showBubbleSize val="0"/>
        </c:dLbls>
        <c:gapWidth val="150"/>
        <c:overlap val="100"/>
        <c:axId val="1949970799"/>
        <c:axId val="1949973199"/>
      </c:barChart>
      <c:catAx>
        <c:axId val="1949970799"/>
        <c:scaling>
          <c:orientation val="minMax"/>
        </c:scaling>
        <c:delete val="1"/>
        <c:axPos val="l"/>
        <c:numFmt formatCode="General" sourceLinked="1"/>
        <c:majorTickMark val="none"/>
        <c:minorTickMark val="none"/>
        <c:tickLblPos val="nextTo"/>
        <c:crossAx val="1949973199"/>
        <c:crosses val="autoZero"/>
        <c:auto val="1"/>
        <c:lblAlgn val="ctr"/>
        <c:lblOffset val="100"/>
        <c:noMultiLvlLbl val="0"/>
      </c:catAx>
      <c:valAx>
        <c:axId val="1949973199"/>
        <c:scaling>
          <c:orientation val="minMax"/>
        </c:scaling>
        <c:delete val="1"/>
        <c:axPos val="b"/>
        <c:numFmt formatCode="General" sourceLinked="1"/>
        <c:majorTickMark val="none"/>
        <c:minorTickMark val="none"/>
        <c:tickLblPos val="nextTo"/>
        <c:crossAx val="194997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project.xlsx]category wise sales!PivotTable13</c:name>
    <c:fmtId val="7"/>
  </c:pivotSource>
  <c:chart>
    <c:title>
      <c:tx>
        <c:rich>
          <a:bodyPr rot="0" spcFirstLastPara="1" vertOverflow="ellipsis" vert="horz" wrap="square" anchor="ctr" anchorCtr="1"/>
          <a:lstStyle/>
          <a:p>
            <a:pPr>
              <a:defRPr sz="2000" b="1" i="0" u="none" strike="noStrike" kern="1200" spc="0" baseline="0">
                <a:solidFill>
                  <a:schemeClr val="dk1"/>
                </a:solidFill>
                <a:latin typeface="+mn-lt"/>
                <a:ea typeface="+mn-ea"/>
                <a:cs typeface="+mn-cs"/>
              </a:defRPr>
            </a:pPr>
            <a:r>
              <a:rPr lang="en-US" sz="2000" b="1"/>
              <a:t>Category wise sale</a:t>
            </a:r>
          </a:p>
        </c:rich>
      </c:tx>
      <c:layout>
        <c:manualLayout>
          <c:xMode val="edge"/>
          <c:yMode val="edge"/>
          <c:x val="0.24296522309711285"/>
          <c:y val="2.314814814814814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9473215080760384"/>
          <c:y val="0.17512291306609548"/>
          <c:w val="0.49656683913387245"/>
          <c:h val="0.8090831179218132"/>
        </c:manualLayout>
      </c:layout>
      <c:doughnutChart>
        <c:varyColors val="1"/>
        <c:ser>
          <c:idx val="0"/>
          <c:order val="0"/>
          <c:tx>
            <c:strRef>
              <c:f>'category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E9-4499-B493-B1BE0C469E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E9-4499-B493-B1BE0C469E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E9-4499-B493-B1BE0C469E18}"/>
              </c:ext>
            </c:extLst>
          </c:dPt>
          <c:dLbls>
            <c:spPr>
              <a:noFill/>
              <a:ln>
                <a:noFill/>
              </a:ln>
              <a:effectLst/>
            </c:spPr>
            <c:txPr>
              <a:bodyPr rot="0" spcFirstLastPara="1" vertOverflow="ellipsis" vert="horz" wrap="square" anchor="ctr" anchorCtr="1"/>
              <a:lstStyle/>
              <a:p>
                <a:pPr>
                  <a:defRPr sz="105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sales'!$A$4:$A$7</c:f>
              <c:strCache>
                <c:ptCount val="3"/>
                <c:pt idx="0">
                  <c:v>Electronics</c:v>
                </c:pt>
                <c:pt idx="1">
                  <c:v>Furniture</c:v>
                </c:pt>
                <c:pt idx="2">
                  <c:v>Stationery</c:v>
                </c:pt>
              </c:strCache>
            </c:strRef>
          </c:cat>
          <c:val>
            <c:numRef>
              <c:f>'category wise sales'!$B$4:$B$7</c:f>
              <c:numCache>
                <c:formatCode>General</c:formatCode>
                <c:ptCount val="3"/>
                <c:pt idx="0">
                  <c:v>4517000</c:v>
                </c:pt>
                <c:pt idx="1">
                  <c:v>1597000</c:v>
                </c:pt>
                <c:pt idx="2">
                  <c:v>51500</c:v>
                </c:pt>
              </c:numCache>
            </c:numRef>
          </c:val>
          <c:extLst>
            <c:ext xmlns:c16="http://schemas.microsoft.com/office/drawing/2014/chart" uri="{C3380CC4-5D6E-409C-BE32-E72D297353CC}">
              <c16:uniqueId val="{00000006-29E9-4499-B493-B1BE0C469E1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874496937882776"/>
          <c:y val="0.26727909011373585"/>
          <c:w val="0.20458836395450569"/>
          <c:h val="0.4103025663458734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rot="5400000" vert="horz"/>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project.xlsx]product vs profit!PivotTable10</c:name>
    <c:fmtId val="1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Product wise sale/profit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117704613535969E-2"/>
          <c:y val="0.12191493972412819"/>
          <c:w val="0.86900711556687593"/>
          <c:h val="0.80753840499112228"/>
        </c:manualLayout>
      </c:layout>
      <c:barChart>
        <c:barDir val="bar"/>
        <c:grouping val="clustered"/>
        <c:varyColors val="0"/>
        <c:ser>
          <c:idx val="0"/>
          <c:order val="0"/>
          <c:tx>
            <c:strRef>
              <c:f>'product vs profit'!$B$3</c:f>
              <c:strCache>
                <c:ptCount val="1"/>
                <c:pt idx="0">
                  <c:v>Sum of Sales_Amount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vs profit'!$A$4:$A$9</c:f>
              <c:strCache>
                <c:ptCount val="5"/>
                <c:pt idx="0">
                  <c:v>Bookshelf</c:v>
                </c:pt>
                <c:pt idx="1">
                  <c:v>Laptop</c:v>
                </c:pt>
                <c:pt idx="2">
                  <c:v>Smartphone</c:v>
                </c:pt>
                <c:pt idx="3">
                  <c:v>Study Table</c:v>
                </c:pt>
                <c:pt idx="4">
                  <c:v>Tablet</c:v>
                </c:pt>
              </c:strCache>
            </c:strRef>
          </c:cat>
          <c:val>
            <c:numRef>
              <c:f>'product vs profit'!$B$4:$B$9</c:f>
              <c:numCache>
                <c:formatCode>General</c:formatCode>
                <c:ptCount val="5"/>
                <c:pt idx="0">
                  <c:v>1170400</c:v>
                </c:pt>
                <c:pt idx="1">
                  <c:v>6193000</c:v>
                </c:pt>
                <c:pt idx="2">
                  <c:v>2899600</c:v>
                </c:pt>
                <c:pt idx="3">
                  <c:v>1968000</c:v>
                </c:pt>
                <c:pt idx="4">
                  <c:v>2421900</c:v>
                </c:pt>
              </c:numCache>
            </c:numRef>
          </c:val>
          <c:extLst>
            <c:ext xmlns:c16="http://schemas.microsoft.com/office/drawing/2014/chart" uri="{C3380CC4-5D6E-409C-BE32-E72D297353CC}">
              <c16:uniqueId val="{00000000-76AD-482E-BAAD-87AC11C6BD1A}"/>
            </c:ext>
          </c:extLst>
        </c:ser>
        <c:ser>
          <c:idx val="1"/>
          <c:order val="1"/>
          <c:tx>
            <c:strRef>
              <c:f>'product vs profit'!$C$3</c:f>
              <c:strCache>
                <c:ptCount val="1"/>
                <c:pt idx="0">
                  <c:v>Sum of Profit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vs profit'!$A$4:$A$9</c:f>
              <c:strCache>
                <c:ptCount val="5"/>
                <c:pt idx="0">
                  <c:v>Bookshelf</c:v>
                </c:pt>
                <c:pt idx="1">
                  <c:v>Laptop</c:v>
                </c:pt>
                <c:pt idx="2">
                  <c:v>Smartphone</c:v>
                </c:pt>
                <c:pt idx="3">
                  <c:v>Study Table</c:v>
                </c:pt>
                <c:pt idx="4">
                  <c:v>Tablet</c:v>
                </c:pt>
              </c:strCache>
            </c:strRef>
          </c:cat>
          <c:val>
            <c:numRef>
              <c:f>'product vs profit'!$C$4:$C$9</c:f>
              <c:numCache>
                <c:formatCode>General</c:formatCode>
                <c:ptCount val="5"/>
                <c:pt idx="0">
                  <c:v>281024.98000000004</c:v>
                </c:pt>
                <c:pt idx="1">
                  <c:v>1435790.7199999997</c:v>
                </c:pt>
                <c:pt idx="2">
                  <c:v>693169.98999999987</c:v>
                </c:pt>
                <c:pt idx="3">
                  <c:v>472485.45999999996</c:v>
                </c:pt>
                <c:pt idx="4">
                  <c:v>602363.21000000008</c:v>
                </c:pt>
              </c:numCache>
            </c:numRef>
          </c:val>
          <c:extLst>
            <c:ext xmlns:c16="http://schemas.microsoft.com/office/drawing/2014/chart" uri="{C3380CC4-5D6E-409C-BE32-E72D297353CC}">
              <c16:uniqueId val="{00000001-76AD-482E-BAAD-87AC11C6BD1A}"/>
            </c:ext>
          </c:extLst>
        </c:ser>
        <c:dLbls>
          <c:dLblPos val="inEnd"/>
          <c:showLegendKey val="0"/>
          <c:showVal val="1"/>
          <c:showCatName val="0"/>
          <c:showSerName val="0"/>
          <c:showPercent val="0"/>
          <c:showBubbleSize val="0"/>
        </c:dLbls>
        <c:gapWidth val="65"/>
        <c:axId val="685971167"/>
        <c:axId val="685964447"/>
      </c:barChart>
      <c:catAx>
        <c:axId val="6859711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solidFill>
                <a:latin typeface="+mn-lt"/>
                <a:ea typeface="+mn-ea"/>
                <a:cs typeface="+mn-cs"/>
              </a:defRPr>
            </a:pPr>
            <a:endParaRPr lang="en-US"/>
          </a:p>
        </c:txPr>
        <c:crossAx val="685964447"/>
        <c:crosses val="autoZero"/>
        <c:auto val="1"/>
        <c:lblAlgn val="ctr"/>
        <c:lblOffset val="100"/>
        <c:noMultiLvlLbl val="0"/>
      </c:catAx>
      <c:valAx>
        <c:axId val="6859644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85971167"/>
        <c:crosses val="autoZero"/>
        <c:crossBetween val="between"/>
      </c:valAx>
      <c:spPr>
        <a:noFill/>
        <a:ln>
          <a:noFill/>
        </a:ln>
        <a:effectLst/>
      </c:spPr>
    </c:plotArea>
    <c:legend>
      <c:legendPos val="r"/>
      <c:layout>
        <c:manualLayout>
          <c:xMode val="edge"/>
          <c:yMode val="edge"/>
          <c:x val="0.8151003763518202"/>
          <c:y val="2.9156784313068219E-2"/>
          <c:w val="0.16139085691438049"/>
          <c:h val="0.1026355204413565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tileRect/>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project.xlsx]Region vs customer!PivotTable11</c:name>
    <c:fmtId val="26"/>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Region wise Customer</a:t>
            </a:r>
          </a:p>
        </c:rich>
      </c:tx>
      <c:layout>
        <c:manualLayout>
          <c:xMode val="edge"/>
          <c:yMode val="edge"/>
          <c:x val="0.31292344706911634"/>
          <c:y val="3.60163312919218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'Region vs customer'!$B$3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vs customer'!$A$4:$A$8</c:f>
              <c:strCache>
                <c:ptCount val="4"/>
                <c:pt idx="0">
                  <c:v>East</c:v>
                </c:pt>
                <c:pt idx="1">
                  <c:v>North</c:v>
                </c:pt>
                <c:pt idx="2">
                  <c:v>South</c:v>
                </c:pt>
                <c:pt idx="3">
                  <c:v>West</c:v>
                </c:pt>
              </c:strCache>
            </c:strRef>
          </c:cat>
          <c:val>
            <c:numRef>
              <c:f>'Region vs customer'!$B$4:$B$8</c:f>
              <c:numCache>
                <c:formatCode>General</c:formatCode>
                <c:ptCount val="4"/>
                <c:pt idx="0">
                  <c:v>126</c:v>
                </c:pt>
                <c:pt idx="1">
                  <c:v>123</c:v>
                </c:pt>
                <c:pt idx="2">
                  <c:v>132</c:v>
                </c:pt>
                <c:pt idx="3">
                  <c:v>119</c:v>
                </c:pt>
              </c:numCache>
            </c:numRef>
          </c:val>
          <c:smooth val="0"/>
          <c:extLst>
            <c:ext xmlns:c16="http://schemas.microsoft.com/office/drawing/2014/chart" uri="{C3380CC4-5D6E-409C-BE32-E72D297353CC}">
              <c16:uniqueId val="{00000000-688D-4696-BF61-63E129EDC13D}"/>
            </c:ext>
          </c:extLst>
        </c:ser>
        <c:dLbls>
          <c:dLblPos val="ctr"/>
          <c:showLegendKey val="0"/>
          <c:showVal val="1"/>
          <c:showCatName val="0"/>
          <c:showSerName val="0"/>
          <c:showPercent val="0"/>
          <c:showBubbleSize val="0"/>
        </c:dLbls>
        <c:marker val="1"/>
        <c:smooth val="0"/>
        <c:axId val="1713193855"/>
        <c:axId val="1713167935"/>
      </c:lineChart>
      <c:catAx>
        <c:axId val="17131938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1" i="0" u="none" strike="noStrike" kern="1200" cap="all" baseline="0">
                <a:solidFill>
                  <a:schemeClr val="dk1"/>
                </a:solidFill>
                <a:latin typeface="+mn-lt"/>
                <a:ea typeface="+mn-ea"/>
                <a:cs typeface="+mn-cs"/>
              </a:defRPr>
            </a:pPr>
            <a:endParaRPr lang="en-US"/>
          </a:p>
        </c:txPr>
        <c:crossAx val="1713167935"/>
        <c:crosses val="autoZero"/>
        <c:auto val="1"/>
        <c:lblAlgn val="ctr"/>
        <c:lblOffset val="100"/>
        <c:noMultiLvlLbl val="0"/>
      </c:catAx>
      <c:valAx>
        <c:axId val="17131679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131938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tileRect/>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project.xlsx]product vs sales!PivotTable9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vs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6749999999999998"/>
          <c:w val="0.7057128171478565"/>
          <c:h val="0.5591269320501604"/>
        </c:manualLayout>
      </c:layout>
      <c:areaChart>
        <c:grouping val="standard"/>
        <c:varyColors val="0"/>
        <c:ser>
          <c:idx val="0"/>
          <c:order val="0"/>
          <c:tx>
            <c:strRef>
              <c:f>'product vs sales'!$B$3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vs sales'!$A$4:$A$14</c:f>
              <c:strCache>
                <c:ptCount val="10"/>
                <c:pt idx="0">
                  <c:v>Bookshelf</c:v>
                </c:pt>
                <c:pt idx="1">
                  <c:v>Diary</c:v>
                </c:pt>
                <c:pt idx="2">
                  <c:v>Headphones</c:v>
                </c:pt>
                <c:pt idx="3">
                  <c:v>Laptop</c:v>
                </c:pt>
                <c:pt idx="4">
                  <c:v>Notebook Pack</c:v>
                </c:pt>
                <c:pt idx="5">
                  <c:v>Office Chair</c:v>
                </c:pt>
                <c:pt idx="6">
                  <c:v>Pen Set</c:v>
                </c:pt>
                <c:pt idx="7">
                  <c:v>Smartphone</c:v>
                </c:pt>
                <c:pt idx="8">
                  <c:v>Study Table</c:v>
                </c:pt>
                <c:pt idx="9">
                  <c:v>Tablet</c:v>
                </c:pt>
              </c:strCache>
            </c:strRef>
          </c:cat>
          <c:val>
            <c:numRef>
              <c:f>'product vs sales'!$B$4:$B$14</c:f>
              <c:numCache>
                <c:formatCode>General</c:formatCode>
                <c:ptCount val="10"/>
                <c:pt idx="0">
                  <c:v>1170400</c:v>
                </c:pt>
                <c:pt idx="1">
                  <c:v>50155</c:v>
                </c:pt>
                <c:pt idx="2">
                  <c:v>364800</c:v>
                </c:pt>
                <c:pt idx="3">
                  <c:v>6193000</c:v>
                </c:pt>
                <c:pt idx="4">
                  <c:v>65825</c:v>
                </c:pt>
                <c:pt idx="5">
                  <c:v>1011750</c:v>
                </c:pt>
                <c:pt idx="6">
                  <c:v>29720</c:v>
                </c:pt>
                <c:pt idx="7">
                  <c:v>2899600</c:v>
                </c:pt>
                <c:pt idx="8">
                  <c:v>1968000</c:v>
                </c:pt>
                <c:pt idx="9">
                  <c:v>2421900</c:v>
                </c:pt>
              </c:numCache>
            </c:numRef>
          </c:val>
          <c:extLst>
            <c:ext xmlns:c16="http://schemas.microsoft.com/office/drawing/2014/chart" uri="{C3380CC4-5D6E-409C-BE32-E72D297353CC}">
              <c16:uniqueId val="{00000000-45E3-45CB-8061-14B4F8B36C67}"/>
            </c:ext>
          </c:extLst>
        </c:ser>
        <c:dLbls>
          <c:showLegendKey val="0"/>
          <c:showVal val="1"/>
          <c:showCatName val="0"/>
          <c:showSerName val="0"/>
          <c:showPercent val="0"/>
          <c:showBubbleSize val="0"/>
        </c:dLbls>
        <c:axId val="1640303775"/>
        <c:axId val="1640301855"/>
      </c:areaChart>
      <c:catAx>
        <c:axId val="1640303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301855"/>
        <c:crosses val="autoZero"/>
        <c:auto val="1"/>
        <c:lblAlgn val="ctr"/>
        <c:lblOffset val="100"/>
        <c:noMultiLvlLbl val="0"/>
      </c:catAx>
      <c:valAx>
        <c:axId val="164030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303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project.xlsx]top customers!PivotTable7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Customers</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customers'!$B$3</c:f>
              <c:strCache>
                <c:ptCount val="1"/>
                <c:pt idx="0">
                  <c:v>Total</c:v>
                </c:pt>
              </c:strCache>
            </c:strRef>
          </c:tx>
          <c:spPr>
            <a:solidFill>
              <a:schemeClr val="accent1"/>
            </a:solidFill>
            <a:ln>
              <a:noFill/>
            </a:ln>
            <a:effectLst/>
          </c:spPr>
          <c:invertIfNegative val="0"/>
          <c:cat>
            <c:strRef>
              <c:f>'top customers'!$A$4:$A$9</c:f>
              <c:strCache>
                <c:ptCount val="5"/>
                <c:pt idx="0">
                  <c:v>Anjali Das</c:v>
                </c:pt>
                <c:pt idx="1">
                  <c:v>Arjun Rao</c:v>
                </c:pt>
                <c:pt idx="2">
                  <c:v>Neha Verma</c:v>
                </c:pt>
                <c:pt idx="3">
                  <c:v>Sneha Iyer</c:v>
                </c:pt>
                <c:pt idx="4">
                  <c:v>Vikas Gupta</c:v>
                </c:pt>
              </c:strCache>
            </c:strRef>
          </c:cat>
          <c:val>
            <c:numRef>
              <c:f>'top customers'!$B$4:$B$9</c:f>
              <c:numCache>
                <c:formatCode>General</c:formatCode>
                <c:ptCount val="5"/>
                <c:pt idx="0">
                  <c:v>1956842.5</c:v>
                </c:pt>
                <c:pt idx="1">
                  <c:v>1530687.5</c:v>
                </c:pt>
                <c:pt idx="2">
                  <c:v>1382865</c:v>
                </c:pt>
                <c:pt idx="3">
                  <c:v>1353315</c:v>
                </c:pt>
                <c:pt idx="4">
                  <c:v>2181742.5</c:v>
                </c:pt>
              </c:numCache>
            </c:numRef>
          </c:val>
          <c:extLst>
            <c:ext xmlns:c16="http://schemas.microsoft.com/office/drawing/2014/chart" uri="{C3380CC4-5D6E-409C-BE32-E72D297353CC}">
              <c16:uniqueId val="{00000000-4907-432A-B062-82CAE8222615}"/>
            </c:ext>
          </c:extLst>
        </c:ser>
        <c:dLbls>
          <c:showLegendKey val="0"/>
          <c:showVal val="0"/>
          <c:showCatName val="0"/>
          <c:showSerName val="0"/>
          <c:showPercent val="0"/>
          <c:showBubbleSize val="0"/>
        </c:dLbls>
        <c:gapWidth val="150"/>
        <c:overlap val="100"/>
        <c:axId val="1045834799"/>
        <c:axId val="1045834319"/>
      </c:barChart>
      <c:catAx>
        <c:axId val="104583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5834319"/>
        <c:crosses val="autoZero"/>
        <c:auto val="1"/>
        <c:lblAlgn val="ctr"/>
        <c:lblOffset val="100"/>
        <c:noMultiLvlLbl val="0"/>
      </c:catAx>
      <c:valAx>
        <c:axId val="1045834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583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project.xlsx]top customers!PivotTable7</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30155489938757657"/>
          <c:y val="0.10124781277340332"/>
          <c:w val="0.41147353455818025"/>
          <c:h val="0.68578922426363376"/>
        </c:manualLayout>
      </c:layout>
      <c:doughnutChart>
        <c:varyColors val="1"/>
        <c:ser>
          <c:idx val="0"/>
          <c:order val="0"/>
          <c:tx>
            <c:strRef>
              <c:f>'top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4A-4818-A4B1-224B68B2FB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4A-4818-A4B1-224B68B2FB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4A-4818-A4B1-224B68B2FB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4A-4818-A4B1-224B68B2FB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04A-4818-A4B1-224B68B2FB87}"/>
              </c:ext>
            </c:extLst>
          </c:dPt>
          <c:dLbls>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customers'!$A$4:$A$9</c:f>
              <c:strCache>
                <c:ptCount val="5"/>
                <c:pt idx="0">
                  <c:v>Anjali Das</c:v>
                </c:pt>
                <c:pt idx="1">
                  <c:v>Arjun Rao</c:v>
                </c:pt>
                <c:pt idx="2">
                  <c:v>Neha Verma</c:v>
                </c:pt>
                <c:pt idx="3">
                  <c:v>Sneha Iyer</c:v>
                </c:pt>
                <c:pt idx="4">
                  <c:v>Vikas Gupta</c:v>
                </c:pt>
              </c:strCache>
            </c:strRef>
          </c:cat>
          <c:val>
            <c:numRef>
              <c:f>'top customers'!$B$4:$B$9</c:f>
              <c:numCache>
                <c:formatCode>General</c:formatCode>
                <c:ptCount val="5"/>
                <c:pt idx="0">
                  <c:v>1956842.5</c:v>
                </c:pt>
                <c:pt idx="1">
                  <c:v>1530687.5</c:v>
                </c:pt>
                <c:pt idx="2">
                  <c:v>1382865</c:v>
                </c:pt>
                <c:pt idx="3">
                  <c:v>1353315</c:v>
                </c:pt>
                <c:pt idx="4">
                  <c:v>2181742.5</c:v>
                </c:pt>
              </c:numCache>
            </c:numRef>
          </c:val>
          <c:extLst>
            <c:ext xmlns:c16="http://schemas.microsoft.com/office/drawing/2014/chart" uri="{C3380CC4-5D6E-409C-BE32-E72D297353CC}">
              <c16:uniqueId val="{00000000-B8C7-4E35-82D3-6CFBE412DDE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project.xlsx]sales by region!PivotTable8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a:t>
            </a:r>
            <a:r>
              <a:rPr lang="en-IN" b="1" baseline="0"/>
              <a:t>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'sales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4A-46F9-9E9F-B05F490C2A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4A-46F9-9E9F-B05F490C2A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4A-46F9-9E9F-B05F490C2A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4A-46F9-9E9F-B05F490C2A2D}"/>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East</c:v>
                </c:pt>
                <c:pt idx="1">
                  <c:v>North</c:v>
                </c:pt>
                <c:pt idx="2">
                  <c:v>South</c:v>
                </c:pt>
                <c:pt idx="3">
                  <c:v>West</c:v>
                </c:pt>
              </c:strCache>
            </c:strRef>
          </c:cat>
          <c:val>
            <c:numRef>
              <c:f>'sales by region'!$B$4:$B$8</c:f>
              <c:numCache>
                <c:formatCode>General</c:formatCode>
                <c:ptCount val="4"/>
                <c:pt idx="0">
                  <c:v>4239027.5</c:v>
                </c:pt>
                <c:pt idx="1">
                  <c:v>4143655</c:v>
                </c:pt>
                <c:pt idx="2">
                  <c:v>3926092.5</c:v>
                </c:pt>
                <c:pt idx="3">
                  <c:v>3866375</c:v>
                </c:pt>
              </c:numCache>
            </c:numRef>
          </c:val>
          <c:extLst>
            <c:ext xmlns:c16="http://schemas.microsoft.com/office/drawing/2014/chart" uri="{C3380CC4-5D6E-409C-BE32-E72D297353CC}">
              <c16:uniqueId val="{00000000-F4F6-4EF6-A720-A56F9050E8A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project.xlsx]product vs profit!PivotTable10</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Product</a:t>
            </a:r>
            <a:r>
              <a:rPr lang="en-IN" b="1" baseline="0"/>
              <a:t> wise sale/profit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vs profit'!$B$3</c:f>
              <c:strCache>
                <c:ptCount val="1"/>
                <c:pt idx="0">
                  <c:v>Sum of Sales_Amount</c:v>
                </c:pt>
              </c:strCache>
            </c:strRef>
          </c:tx>
          <c:spPr>
            <a:solidFill>
              <a:schemeClr val="accent1"/>
            </a:solidFill>
            <a:ln>
              <a:noFill/>
            </a:ln>
            <a:effectLst/>
          </c:spPr>
          <c:invertIfNegative val="0"/>
          <c:cat>
            <c:strRef>
              <c:f>'product vs profit'!$A$4:$A$9</c:f>
              <c:strCache>
                <c:ptCount val="5"/>
                <c:pt idx="0">
                  <c:v>Bookshelf</c:v>
                </c:pt>
                <c:pt idx="1">
                  <c:v>Laptop</c:v>
                </c:pt>
                <c:pt idx="2">
                  <c:v>Smartphone</c:v>
                </c:pt>
                <c:pt idx="3">
                  <c:v>Study Table</c:v>
                </c:pt>
                <c:pt idx="4">
                  <c:v>Tablet</c:v>
                </c:pt>
              </c:strCache>
            </c:strRef>
          </c:cat>
          <c:val>
            <c:numRef>
              <c:f>'product vs profit'!$B$4:$B$9</c:f>
              <c:numCache>
                <c:formatCode>General</c:formatCode>
                <c:ptCount val="5"/>
                <c:pt idx="0">
                  <c:v>1170400</c:v>
                </c:pt>
                <c:pt idx="1">
                  <c:v>6193000</c:v>
                </c:pt>
                <c:pt idx="2">
                  <c:v>2899600</c:v>
                </c:pt>
                <c:pt idx="3">
                  <c:v>1968000</c:v>
                </c:pt>
                <c:pt idx="4">
                  <c:v>2421900</c:v>
                </c:pt>
              </c:numCache>
            </c:numRef>
          </c:val>
          <c:extLst>
            <c:ext xmlns:c16="http://schemas.microsoft.com/office/drawing/2014/chart" uri="{C3380CC4-5D6E-409C-BE32-E72D297353CC}">
              <c16:uniqueId val="{00000000-486F-4EFB-8BF4-40D3F1B46CB0}"/>
            </c:ext>
          </c:extLst>
        </c:ser>
        <c:ser>
          <c:idx val="1"/>
          <c:order val="1"/>
          <c:tx>
            <c:strRef>
              <c:f>'product vs profit'!$C$3</c:f>
              <c:strCache>
                <c:ptCount val="1"/>
                <c:pt idx="0">
                  <c:v>Sum of Profit</c:v>
                </c:pt>
              </c:strCache>
            </c:strRef>
          </c:tx>
          <c:spPr>
            <a:solidFill>
              <a:schemeClr val="accent2"/>
            </a:solidFill>
            <a:ln>
              <a:noFill/>
            </a:ln>
            <a:effectLst/>
          </c:spPr>
          <c:invertIfNegative val="0"/>
          <c:cat>
            <c:strRef>
              <c:f>'product vs profit'!$A$4:$A$9</c:f>
              <c:strCache>
                <c:ptCount val="5"/>
                <c:pt idx="0">
                  <c:v>Bookshelf</c:v>
                </c:pt>
                <c:pt idx="1">
                  <c:v>Laptop</c:v>
                </c:pt>
                <c:pt idx="2">
                  <c:v>Smartphone</c:v>
                </c:pt>
                <c:pt idx="3">
                  <c:v>Study Table</c:v>
                </c:pt>
                <c:pt idx="4">
                  <c:v>Tablet</c:v>
                </c:pt>
              </c:strCache>
            </c:strRef>
          </c:cat>
          <c:val>
            <c:numRef>
              <c:f>'product vs profit'!$C$4:$C$9</c:f>
              <c:numCache>
                <c:formatCode>General</c:formatCode>
                <c:ptCount val="5"/>
                <c:pt idx="0">
                  <c:v>281024.98000000004</c:v>
                </c:pt>
                <c:pt idx="1">
                  <c:v>1435790.7199999997</c:v>
                </c:pt>
                <c:pt idx="2">
                  <c:v>693169.98999999987</c:v>
                </c:pt>
                <c:pt idx="3">
                  <c:v>472485.45999999996</c:v>
                </c:pt>
                <c:pt idx="4">
                  <c:v>602363.21000000008</c:v>
                </c:pt>
              </c:numCache>
            </c:numRef>
          </c:val>
          <c:extLst>
            <c:ext xmlns:c16="http://schemas.microsoft.com/office/drawing/2014/chart" uri="{C3380CC4-5D6E-409C-BE32-E72D297353CC}">
              <c16:uniqueId val="{00000001-486F-4EFB-8BF4-40D3F1B46CB0}"/>
            </c:ext>
          </c:extLst>
        </c:ser>
        <c:dLbls>
          <c:showLegendKey val="0"/>
          <c:showVal val="0"/>
          <c:showCatName val="0"/>
          <c:showSerName val="0"/>
          <c:showPercent val="0"/>
          <c:showBubbleSize val="0"/>
        </c:dLbls>
        <c:gapWidth val="182"/>
        <c:axId val="685971167"/>
        <c:axId val="685964447"/>
      </c:barChart>
      <c:catAx>
        <c:axId val="68597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5964447"/>
        <c:crosses val="autoZero"/>
        <c:auto val="1"/>
        <c:lblAlgn val="ctr"/>
        <c:lblOffset val="100"/>
        <c:noMultiLvlLbl val="0"/>
      </c:catAx>
      <c:valAx>
        <c:axId val="685964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597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project.xlsx]Region vs customer!PivotTable11</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t>
            </a:r>
            <a:r>
              <a:rPr lang="en-US" b="1" baseline="0"/>
              <a:t> vs Customer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'Region vs customer'!$B$3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vs customer'!$A$4:$A$8</c:f>
              <c:strCache>
                <c:ptCount val="4"/>
                <c:pt idx="0">
                  <c:v>East</c:v>
                </c:pt>
                <c:pt idx="1">
                  <c:v>North</c:v>
                </c:pt>
                <c:pt idx="2">
                  <c:v>South</c:v>
                </c:pt>
                <c:pt idx="3">
                  <c:v>West</c:v>
                </c:pt>
              </c:strCache>
            </c:strRef>
          </c:cat>
          <c:val>
            <c:numRef>
              <c:f>'Region vs customer'!$B$4:$B$8</c:f>
              <c:numCache>
                <c:formatCode>General</c:formatCode>
                <c:ptCount val="4"/>
                <c:pt idx="0">
                  <c:v>126</c:v>
                </c:pt>
                <c:pt idx="1">
                  <c:v>123</c:v>
                </c:pt>
                <c:pt idx="2">
                  <c:v>132</c:v>
                </c:pt>
                <c:pt idx="3">
                  <c:v>119</c:v>
                </c:pt>
              </c:numCache>
            </c:numRef>
          </c:val>
          <c:extLst>
            <c:ext xmlns:c16="http://schemas.microsoft.com/office/drawing/2014/chart" uri="{C3380CC4-5D6E-409C-BE32-E72D297353CC}">
              <c16:uniqueId val="{00000000-7188-4E88-8992-BF6FD362120F}"/>
            </c:ext>
          </c:extLst>
        </c:ser>
        <c:dLbls>
          <c:showLegendKey val="0"/>
          <c:showVal val="1"/>
          <c:showCatName val="0"/>
          <c:showSerName val="0"/>
          <c:showPercent val="0"/>
          <c:showBubbleSize val="0"/>
        </c:dLbls>
        <c:gapWidth val="150"/>
        <c:shape val="box"/>
        <c:axId val="1640307615"/>
        <c:axId val="1640302815"/>
        <c:axId val="0"/>
      </c:bar3DChart>
      <c:catAx>
        <c:axId val="1640307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0302815"/>
        <c:crosses val="autoZero"/>
        <c:auto val="1"/>
        <c:lblAlgn val="ctr"/>
        <c:lblOffset val="100"/>
        <c:noMultiLvlLbl val="0"/>
      </c:catAx>
      <c:valAx>
        <c:axId val="1640302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030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project.xlsx]Region vs customer!PivotTable11</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t>
            </a:r>
            <a:r>
              <a:rPr lang="en-US" b="1" baseline="0"/>
              <a:t> wise Customer</a:t>
            </a:r>
            <a:endParaRPr lang="en-US" b="1"/>
          </a:p>
        </c:rich>
      </c:tx>
      <c:layout>
        <c:manualLayout>
          <c:xMode val="edge"/>
          <c:yMode val="edge"/>
          <c:x val="0.3481694526913644"/>
          <c:y val="5.76098442240174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'Region vs customer'!$B$3</c:f>
              <c:strCache>
                <c:ptCount val="1"/>
                <c:pt idx="0">
                  <c:v>Total</c:v>
                </c:pt>
              </c:strCache>
            </c:strRef>
          </c:tx>
          <c:spPr>
            <a:ln w="28575" cap="rnd">
              <a:solidFill>
                <a:schemeClr val="accent1"/>
              </a:solidFill>
              <a:round/>
            </a:ln>
            <a:effectLst/>
          </c:spPr>
          <c:marker>
            <c:symbol val="none"/>
          </c:marker>
          <c:cat>
            <c:strRef>
              <c:f>'Region vs customer'!$A$4:$A$8</c:f>
              <c:strCache>
                <c:ptCount val="4"/>
                <c:pt idx="0">
                  <c:v>East</c:v>
                </c:pt>
                <c:pt idx="1">
                  <c:v>North</c:v>
                </c:pt>
                <c:pt idx="2">
                  <c:v>South</c:v>
                </c:pt>
                <c:pt idx="3">
                  <c:v>West</c:v>
                </c:pt>
              </c:strCache>
            </c:strRef>
          </c:cat>
          <c:val>
            <c:numRef>
              <c:f>'Region vs customer'!$B$4:$B$8</c:f>
              <c:numCache>
                <c:formatCode>General</c:formatCode>
                <c:ptCount val="4"/>
                <c:pt idx="0">
                  <c:v>126</c:v>
                </c:pt>
                <c:pt idx="1">
                  <c:v>123</c:v>
                </c:pt>
                <c:pt idx="2">
                  <c:v>132</c:v>
                </c:pt>
                <c:pt idx="3">
                  <c:v>119</c:v>
                </c:pt>
              </c:numCache>
            </c:numRef>
          </c:val>
          <c:smooth val="0"/>
          <c:extLst>
            <c:ext xmlns:c16="http://schemas.microsoft.com/office/drawing/2014/chart" uri="{C3380CC4-5D6E-409C-BE32-E72D297353CC}">
              <c16:uniqueId val="{00000000-8D4D-47D9-9A7D-93B0DA447898}"/>
            </c:ext>
          </c:extLst>
        </c:ser>
        <c:dLbls>
          <c:showLegendKey val="0"/>
          <c:showVal val="0"/>
          <c:showCatName val="0"/>
          <c:showSerName val="0"/>
          <c:showPercent val="0"/>
          <c:showBubbleSize val="0"/>
        </c:dLbls>
        <c:smooth val="0"/>
        <c:axId val="1713193855"/>
        <c:axId val="1713167935"/>
      </c:lineChart>
      <c:catAx>
        <c:axId val="1713193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3167935"/>
        <c:crosses val="autoZero"/>
        <c:auto val="1"/>
        <c:lblAlgn val="ctr"/>
        <c:lblOffset val="100"/>
        <c:noMultiLvlLbl val="0"/>
      </c:catAx>
      <c:valAx>
        <c:axId val="17131679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31938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project.xlsx]Region vs profit!PivotTable12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Region</a:t>
            </a:r>
            <a:r>
              <a:rPr lang="en-IN" b="1" baseline="0"/>
              <a:t> wise profit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rgbClr val="000000">
                        <a:alpha val="50000"/>
                      </a:srgb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'Region vs profit'!$B$3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rgbClr val="000000">
                          <a:alpha val="50000"/>
                        </a:srgb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vs profit'!$A$4:$A$8</c:f>
              <c:strCache>
                <c:ptCount val="4"/>
                <c:pt idx="0">
                  <c:v>East</c:v>
                </c:pt>
                <c:pt idx="1">
                  <c:v>North</c:v>
                </c:pt>
                <c:pt idx="2">
                  <c:v>South</c:v>
                </c:pt>
                <c:pt idx="3">
                  <c:v>West</c:v>
                </c:pt>
              </c:strCache>
            </c:strRef>
          </c:cat>
          <c:val>
            <c:numRef>
              <c:f>'Region vs profit'!$B$4:$B$8</c:f>
              <c:numCache>
                <c:formatCode>General</c:formatCode>
                <c:ptCount val="4"/>
                <c:pt idx="0">
                  <c:v>993392.14999999956</c:v>
                </c:pt>
                <c:pt idx="1">
                  <c:v>1003030.53</c:v>
                </c:pt>
                <c:pt idx="2">
                  <c:v>929241.75999999978</c:v>
                </c:pt>
                <c:pt idx="3">
                  <c:v>956412.86</c:v>
                </c:pt>
              </c:numCache>
            </c:numRef>
          </c:val>
          <c:smooth val="0"/>
          <c:extLst>
            <c:ext xmlns:c16="http://schemas.microsoft.com/office/drawing/2014/chart" uri="{C3380CC4-5D6E-409C-BE32-E72D297353CC}">
              <c16:uniqueId val="{00000000-AF6A-40F3-A3BD-204F5B378B45}"/>
            </c:ext>
          </c:extLst>
        </c:ser>
        <c:dLbls>
          <c:dLblPos val="t"/>
          <c:showLegendKey val="0"/>
          <c:showVal val="1"/>
          <c:showCatName val="0"/>
          <c:showSerName val="0"/>
          <c:showPercent val="0"/>
          <c:showBubbleSize val="0"/>
        </c:dLbls>
        <c:smooth val="0"/>
        <c:axId val="1046070479"/>
        <c:axId val="1213682351"/>
      </c:lineChart>
      <c:catAx>
        <c:axId val="104607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3682351"/>
        <c:crosses val="autoZero"/>
        <c:auto val="1"/>
        <c:lblAlgn val="ctr"/>
        <c:lblOffset val="100"/>
        <c:noMultiLvlLbl val="0"/>
      </c:catAx>
      <c:valAx>
        <c:axId val="1213682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7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project.xlsx]category wise sales!PivotTable13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a:t> </a:t>
            </a:r>
            <a:r>
              <a:rPr lang="en-US" b="1"/>
              <a:t>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'category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C4-415E-A982-A418E83EA2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C4-415E-A982-A418E83EA2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C4-415E-A982-A418E83EA2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sales'!$A$4:$A$7</c:f>
              <c:strCache>
                <c:ptCount val="3"/>
                <c:pt idx="0">
                  <c:v>Electronics</c:v>
                </c:pt>
                <c:pt idx="1">
                  <c:v>Furniture</c:v>
                </c:pt>
                <c:pt idx="2">
                  <c:v>Stationery</c:v>
                </c:pt>
              </c:strCache>
            </c:strRef>
          </c:cat>
          <c:val>
            <c:numRef>
              <c:f>'category wise sales'!$B$4:$B$7</c:f>
              <c:numCache>
                <c:formatCode>General</c:formatCode>
                <c:ptCount val="3"/>
                <c:pt idx="0">
                  <c:v>4517000</c:v>
                </c:pt>
                <c:pt idx="1">
                  <c:v>1597000</c:v>
                </c:pt>
                <c:pt idx="2">
                  <c:v>51500</c:v>
                </c:pt>
              </c:numCache>
            </c:numRef>
          </c:val>
          <c:extLst>
            <c:ext xmlns:c16="http://schemas.microsoft.com/office/drawing/2014/chart" uri="{C3380CC4-5D6E-409C-BE32-E72D297353CC}">
              <c16:uniqueId val="{00000000-9017-4B8A-9557-671C7E3F2DE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Excel project.xlsx]Sheet15!PivotTable18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a:t>
            </a:r>
            <a:r>
              <a:rPr lang="en-IN" b="1" baseline="0"/>
              <a:t> by sales/profit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4759405074366"/>
          <c:y val="0.17171296296296298"/>
          <c:w val="0.83953018372703414"/>
          <c:h val="0.72088764946048411"/>
        </c:manualLayout>
      </c:layout>
      <c:lineChart>
        <c:grouping val="standard"/>
        <c:varyColors val="0"/>
        <c:ser>
          <c:idx val="0"/>
          <c:order val="0"/>
          <c:tx>
            <c:strRef>
              <c:f>Sheet15!$B$3</c:f>
              <c:strCache>
                <c:ptCount val="1"/>
                <c:pt idx="0">
                  <c:v>Sum of Sales_Amount</c:v>
                </c:pt>
              </c:strCache>
            </c:strRef>
          </c:tx>
          <c:spPr>
            <a:ln w="28575" cap="rnd">
              <a:solidFill>
                <a:schemeClr val="accent1"/>
              </a:solidFill>
              <a:round/>
            </a:ln>
            <a:effectLst/>
          </c:spPr>
          <c:marker>
            <c:symbol val="none"/>
          </c:marker>
          <c:cat>
            <c:strRef>
              <c:f>Sheet15!$A$4:$A$10</c:f>
              <c:strCache>
                <c:ptCount val="6"/>
                <c:pt idx="0">
                  <c:v>Jan</c:v>
                </c:pt>
                <c:pt idx="1">
                  <c:v>Feb</c:v>
                </c:pt>
                <c:pt idx="2">
                  <c:v>Mar</c:v>
                </c:pt>
                <c:pt idx="3">
                  <c:v>Apr</c:v>
                </c:pt>
                <c:pt idx="4">
                  <c:v>May</c:v>
                </c:pt>
                <c:pt idx="5">
                  <c:v>Jun</c:v>
                </c:pt>
              </c:strCache>
            </c:strRef>
          </c:cat>
          <c:val>
            <c:numRef>
              <c:f>Sheet15!$B$4:$B$10</c:f>
              <c:numCache>
                <c:formatCode>General</c:formatCode>
                <c:ptCount val="6"/>
                <c:pt idx="0">
                  <c:v>3070497.5</c:v>
                </c:pt>
                <c:pt idx="1">
                  <c:v>3068972.5</c:v>
                </c:pt>
                <c:pt idx="2">
                  <c:v>2224222.5</c:v>
                </c:pt>
                <c:pt idx="3">
                  <c:v>3040302.5</c:v>
                </c:pt>
                <c:pt idx="4">
                  <c:v>2355237.5</c:v>
                </c:pt>
                <c:pt idx="5">
                  <c:v>2415917.5</c:v>
                </c:pt>
              </c:numCache>
            </c:numRef>
          </c:val>
          <c:smooth val="0"/>
          <c:extLst>
            <c:ext xmlns:c16="http://schemas.microsoft.com/office/drawing/2014/chart" uri="{C3380CC4-5D6E-409C-BE32-E72D297353CC}">
              <c16:uniqueId val="{00000000-9D67-4FAB-AC7E-7F80A014E0FF}"/>
            </c:ext>
          </c:extLst>
        </c:ser>
        <c:ser>
          <c:idx val="1"/>
          <c:order val="1"/>
          <c:tx>
            <c:strRef>
              <c:f>Sheet15!$C$3</c:f>
              <c:strCache>
                <c:ptCount val="1"/>
                <c:pt idx="0">
                  <c:v>Sum of Profit</c:v>
                </c:pt>
              </c:strCache>
            </c:strRef>
          </c:tx>
          <c:spPr>
            <a:ln w="28575" cap="rnd">
              <a:solidFill>
                <a:schemeClr val="accent2"/>
              </a:solidFill>
              <a:round/>
            </a:ln>
            <a:effectLst/>
          </c:spPr>
          <c:marker>
            <c:symbol val="none"/>
          </c:marker>
          <c:cat>
            <c:strRef>
              <c:f>Sheet15!$A$4:$A$10</c:f>
              <c:strCache>
                <c:ptCount val="6"/>
                <c:pt idx="0">
                  <c:v>Jan</c:v>
                </c:pt>
                <c:pt idx="1">
                  <c:v>Feb</c:v>
                </c:pt>
                <c:pt idx="2">
                  <c:v>Mar</c:v>
                </c:pt>
                <c:pt idx="3">
                  <c:v>Apr</c:v>
                </c:pt>
                <c:pt idx="4">
                  <c:v>May</c:v>
                </c:pt>
                <c:pt idx="5">
                  <c:v>Jun</c:v>
                </c:pt>
              </c:strCache>
            </c:strRef>
          </c:cat>
          <c:val>
            <c:numRef>
              <c:f>Sheet15!$C$4:$C$10</c:f>
              <c:numCache>
                <c:formatCode>General</c:formatCode>
                <c:ptCount val="6"/>
                <c:pt idx="0">
                  <c:v>729626.36</c:v>
                </c:pt>
                <c:pt idx="1">
                  <c:v>699144.90999999992</c:v>
                </c:pt>
                <c:pt idx="2">
                  <c:v>553055.02999999991</c:v>
                </c:pt>
                <c:pt idx="3">
                  <c:v>723422.62999999977</c:v>
                </c:pt>
                <c:pt idx="4">
                  <c:v>555619.25999999989</c:v>
                </c:pt>
                <c:pt idx="5">
                  <c:v>621209.11000000022</c:v>
                </c:pt>
              </c:numCache>
            </c:numRef>
          </c:val>
          <c:smooth val="0"/>
          <c:extLst>
            <c:ext xmlns:c16="http://schemas.microsoft.com/office/drawing/2014/chart" uri="{C3380CC4-5D6E-409C-BE32-E72D297353CC}">
              <c16:uniqueId val="{00000001-9D67-4FAB-AC7E-7F80A014E0FF}"/>
            </c:ext>
          </c:extLst>
        </c:ser>
        <c:dLbls>
          <c:showLegendKey val="0"/>
          <c:showVal val="0"/>
          <c:showCatName val="0"/>
          <c:showSerName val="0"/>
          <c:showPercent val="0"/>
          <c:showBubbleSize val="0"/>
        </c:dLbls>
        <c:smooth val="0"/>
        <c:axId val="238909456"/>
        <c:axId val="238886896"/>
      </c:lineChart>
      <c:catAx>
        <c:axId val="23890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886896"/>
        <c:crosses val="autoZero"/>
        <c:auto val="1"/>
        <c:lblAlgn val="ctr"/>
        <c:lblOffset val="100"/>
        <c:noMultiLvlLbl val="0"/>
      </c:catAx>
      <c:valAx>
        <c:axId val="23888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90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sv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113732</xdr:rowOff>
    </xdr:from>
    <xdr:to>
      <xdr:col>4</xdr:col>
      <xdr:colOff>326069</xdr:colOff>
      <xdr:row>25</xdr:row>
      <xdr:rowOff>90986</xdr:rowOff>
    </xdr:to>
    <xdr:sp macro="" textlink="">
      <xdr:nvSpPr>
        <xdr:cNvPr id="2" name="Rectangle 1">
          <a:extLst>
            <a:ext uri="{FF2B5EF4-FFF2-40B4-BE49-F238E27FC236}">
              <a16:creationId xmlns:a16="http://schemas.microsoft.com/office/drawing/2014/main" id="{A209980D-C3A2-84B7-9315-C526FB15BF7A}"/>
            </a:ext>
          </a:extLst>
        </xdr:cNvPr>
        <xdr:cNvSpPr/>
      </xdr:nvSpPr>
      <xdr:spPr>
        <a:xfrm>
          <a:off x="0" y="3173105"/>
          <a:ext cx="2782666" cy="1614985"/>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scene3d>
            <a:camera prst="orthographicFront"/>
            <a:lightRig rig="threePt" dir="t"/>
          </a:scene3d>
          <a:sp3d extrusionH="57150">
            <a:bevelT w="38100" h="38100"/>
          </a:sp3d>
        </a:bodyPr>
        <a:lstStyle/>
        <a:p>
          <a:pPr algn="l"/>
          <a:endParaRPr lang="en-IN" sz="1100">
            <a:effectLst>
              <a:glow rad="63500">
                <a:schemeClr val="accent4">
                  <a:satMod val="175000"/>
                  <a:alpha val="40000"/>
                </a:schemeClr>
              </a:glow>
            </a:effectLst>
          </a:endParaRPr>
        </a:p>
      </xdr:txBody>
    </xdr:sp>
    <xdr:clientData/>
  </xdr:twoCellAnchor>
  <xdr:twoCellAnchor>
    <xdr:from>
      <xdr:col>0</xdr:col>
      <xdr:colOff>27296</xdr:colOff>
      <xdr:row>0</xdr:row>
      <xdr:rowOff>147851</xdr:rowOff>
    </xdr:from>
    <xdr:to>
      <xdr:col>4</xdr:col>
      <xdr:colOff>363941</xdr:colOff>
      <xdr:row>16</xdr:row>
      <xdr:rowOff>22747</xdr:rowOff>
    </xdr:to>
    <xdr:sp macro="" textlink="">
      <xdr:nvSpPr>
        <xdr:cNvPr id="5" name="Rectangle 4">
          <a:extLst>
            <a:ext uri="{FF2B5EF4-FFF2-40B4-BE49-F238E27FC236}">
              <a16:creationId xmlns:a16="http://schemas.microsoft.com/office/drawing/2014/main" id="{2E4FCC44-3BBF-44F0-824E-83AEF5A2F9BB}"/>
            </a:ext>
          </a:extLst>
        </xdr:cNvPr>
        <xdr:cNvSpPr/>
      </xdr:nvSpPr>
      <xdr:spPr>
        <a:xfrm>
          <a:off x="27296" y="147851"/>
          <a:ext cx="2793242" cy="2934269"/>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scene3d>
            <a:camera prst="orthographicFront"/>
            <a:lightRig rig="threePt" dir="t"/>
          </a:scene3d>
          <a:sp3d extrusionH="57150">
            <a:bevelT w="38100" h="38100"/>
          </a:sp3d>
        </a:bodyPr>
        <a:lstStyle/>
        <a:p>
          <a:pPr algn="l"/>
          <a:endParaRPr lang="en-IN" sz="1100">
            <a:effectLst>
              <a:glow rad="63500">
                <a:schemeClr val="accent4">
                  <a:satMod val="175000"/>
                  <a:alpha val="40000"/>
                </a:schemeClr>
              </a:glow>
            </a:effectLst>
          </a:endParaRPr>
        </a:p>
      </xdr:txBody>
    </xdr:sp>
    <xdr:clientData/>
  </xdr:twoCellAnchor>
  <xdr:twoCellAnchor>
    <xdr:from>
      <xdr:col>0</xdr:col>
      <xdr:colOff>90985</xdr:colOff>
      <xdr:row>26</xdr:row>
      <xdr:rowOff>0</xdr:rowOff>
    </xdr:from>
    <xdr:to>
      <xdr:col>4</xdr:col>
      <xdr:colOff>318448</xdr:colOff>
      <xdr:row>41</xdr:row>
      <xdr:rowOff>22745</xdr:rowOff>
    </xdr:to>
    <xdr:sp macro="" textlink="">
      <xdr:nvSpPr>
        <xdr:cNvPr id="6" name="Rectangle 5">
          <a:extLst>
            <a:ext uri="{FF2B5EF4-FFF2-40B4-BE49-F238E27FC236}">
              <a16:creationId xmlns:a16="http://schemas.microsoft.com/office/drawing/2014/main" id="{02EB42CB-148A-48C0-BB03-DE9684741CB8}"/>
            </a:ext>
          </a:extLst>
        </xdr:cNvPr>
        <xdr:cNvSpPr/>
      </xdr:nvSpPr>
      <xdr:spPr>
        <a:xfrm>
          <a:off x="90985" y="4958687"/>
          <a:ext cx="2684060" cy="2752297"/>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scene3d>
            <a:camera prst="orthographicFront"/>
            <a:lightRig rig="threePt" dir="t"/>
          </a:scene3d>
          <a:sp3d extrusionH="57150">
            <a:bevelT w="38100" h="38100"/>
          </a:sp3d>
        </a:bodyPr>
        <a:lstStyle/>
        <a:p>
          <a:pPr algn="l"/>
          <a:endParaRPr lang="en-IN" sz="1100">
            <a:effectLst>
              <a:glow rad="63500">
                <a:schemeClr val="accent4">
                  <a:satMod val="175000"/>
                  <a:alpha val="40000"/>
                </a:schemeClr>
              </a:glow>
            </a:effectLst>
          </a:endParaRPr>
        </a:p>
      </xdr:txBody>
    </xdr:sp>
    <xdr:clientData/>
  </xdr:twoCellAnchor>
  <xdr:twoCellAnchor>
    <xdr:from>
      <xdr:col>4</xdr:col>
      <xdr:colOff>511791</xdr:colOff>
      <xdr:row>12</xdr:row>
      <xdr:rowOff>45493</xdr:rowOff>
    </xdr:from>
    <xdr:to>
      <xdr:col>21</xdr:col>
      <xdr:colOff>204717</xdr:colOff>
      <xdr:row>41</xdr:row>
      <xdr:rowOff>90986</xdr:rowOff>
    </xdr:to>
    <xdr:sp macro="" textlink="">
      <xdr:nvSpPr>
        <xdr:cNvPr id="7" name="Rectangle 6">
          <a:extLst>
            <a:ext uri="{FF2B5EF4-FFF2-40B4-BE49-F238E27FC236}">
              <a16:creationId xmlns:a16="http://schemas.microsoft.com/office/drawing/2014/main" id="{2FA19283-30B2-2D6D-4034-39A225234475}"/>
            </a:ext>
          </a:extLst>
        </xdr:cNvPr>
        <xdr:cNvSpPr/>
      </xdr:nvSpPr>
      <xdr:spPr>
        <a:xfrm>
          <a:off x="2968388" y="2524836"/>
          <a:ext cx="10815851" cy="5174777"/>
        </a:xfrm>
        <a:prstGeom prst="rect">
          <a:avLst/>
        </a:prstGeom>
        <a:effectLst>
          <a:softEdge rad="12700"/>
        </a:effectLst>
        <a:scene3d>
          <a:camera prst="orthographicFront"/>
          <a:lightRig rig="threePt" dir="t"/>
        </a:scene3d>
        <a:sp3d>
          <a:bevelT w="139700" prst="cross"/>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a:t>
          </a:r>
        </a:p>
      </xdr:txBody>
    </xdr:sp>
    <xdr:clientData/>
  </xdr:twoCellAnchor>
  <xdr:twoCellAnchor>
    <xdr:from>
      <xdr:col>5</xdr:col>
      <xdr:colOff>11372</xdr:colOff>
      <xdr:row>0</xdr:row>
      <xdr:rowOff>56864</xdr:rowOff>
    </xdr:from>
    <xdr:to>
      <xdr:col>34</xdr:col>
      <xdr:colOff>113730</xdr:colOff>
      <xdr:row>5</xdr:row>
      <xdr:rowOff>61413</xdr:rowOff>
    </xdr:to>
    <xdr:sp macro="" textlink="">
      <xdr:nvSpPr>
        <xdr:cNvPr id="8" name="Rectangle: Rounded Corners 7">
          <a:extLst>
            <a:ext uri="{FF2B5EF4-FFF2-40B4-BE49-F238E27FC236}">
              <a16:creationId xmlns:a16="http://schemas.microsoft.com/office/drawing/2014/main" id="{C25DE2C5-CE6D-38AC-1C0F-916CFEE0C256}"/>
            </a:ext>
          </a:extLst>
        </xdr:cNvPr>
        <xdr:cNvSpPr/>
      </xdr:nvSpPr>
      <xdr:spPr>
        <a:xfrm>
          <a:off x="3082118" y="56864"/>
          <a:ext cx="18322119" cy="914400"/>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3600" b="1" cap="none" spc="0">
              <a:ln w="0">
                <a:solidFill>
                  <a:schemeClr val="tx1"/>
                </a:solidFill>
              </a:ln>
              <a:solidFill>
                <a:schemeClr val="accent4">
                  <a:lumMod val="50000"/>
                </a:schemeClr>
              </a:solidFill>
              <a:effectLst>
                <a:reflection blurRad="6350" stA="53000" endA="300" endPos="35500" dir="5400000" sy="-90000" algn="bl" rotWithShape="0"/>
              </a:effectLst>
            </a:rPr>
            <a:t>Sales Dashboard-2024</a:t>
          </a:r>
        </a:p>
      </xdr:txBody>
    </xdr:sp>
    <xdr:clientData/>
  </xdr:twoCellAnchor>
  <xdr:twoCellAnchor editAs="oneCell">
    <xdr:from>
      <xdr:col>0</xdr:col>
      <xdr:colOff>45490</xdr:colOff>
      <xdr:row>16</xdr:row>
      <xdr:rowOff>113732</xdr:rowOff>
    </xdr:from>
    <xdr:to>
      <xdr:col>4</xdr:col>
      <xdr:colOff>318448</xdr:colOff>
      <xdr:row>24</xdr:row>
      <xdr:rowOff>147851</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68D15A1A-FB67-454D-87F4-DE1EF2CBB22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5490" y="3173105"/>
              <a:ext cx="2729555" cy="1489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181968</xdr:colOff>
      <xdr:row>18</xdr:row>
      <xdr:rowOff>22746</xdr:rowOff>
    </xdr:from>
    <xdr:to>
      <xdr:col>10</xdr:col>
      <xdr:colOff>898478</xdr:colOff>
      <xdr:row>31</xdr:row>
      <xdr:rowOff>79613</xdr:rowOff>
    </xdr:to>
    <mc:AlternateContent xmlns:mc="http://schemas.openxmlformats.org/markup-compatibility/2006" xmlns:a14="http://schemas.microsoft.com/office/drawing/2010/main">
      <mc:Choice Requires="a14">
        <xdr:graphicFrame macro="">
          <xdr:nvGraphicFramePr>
            <xdr:cNvPr id="12" name="Product_Name 1">
              <a:extLst>
                <a:ext uri="{FF2B5EF4-FFF2-40B4-BE49-F238E27FC236}">
                  <a16:creationId xmlns:a16="http://schemas.microsoft.com/office/drawing/2014/main" id="{796D158B-F075-4418-ABC9-1D6ECCF1AE8B}"/>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4481013" y="3593910"/>
              <a:ext cx="2558958" cy="2422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557284</xdr:colOff>
      <xdr:row>12</xdr:row>
      <xdr:rowOff>125105</xdr:rowOff>
    </xdr:from>
    <xdr:to>
      <xdr:col>13</xdr:col>
      <xdr:colOff>523163</xdr:colOff>
      <xdr:row>41</xdr:row>
      <xdr:rowOff>45492</xdr:rowOff>
    </xdr:to>
    <xdr:sp macro="" textlink="">
      <xdr:nvSpPr>
        <xdr:cNvPr id="31" name="Rectangle 30">
          <a:extLst>
            <a:ext uri="{FF2B5EF4-FFF2-40B4-BE49-F238E27FC236}">
              <a16:creationId xmlns:a16="http://schemas.microsoft.com/office/drawing/2014/main" id="{509CBDA5-F836-7F30-B9EB-32EF5B88236A}"/>
            </a:ext>
          </a:extLst>
        </xdr:cNvPr>
        <xdr:cNvSpPr/>
      </xdr:nvSpPr>
      <xdr:spPr>
        <a:xfrm>
          <a:off x="3013881" y="2536209"/>
          <a:ext cx="5902655" cy="5197522"/>
        </a:xfrm>
        <a:prstGeom prst="rect">
          <a:avLst/>
        </a:prstGeom>
        <a:scene3d>
          <a:camera prst="orthographicFront"/>
          <a:lightRig rig="threePt" dir="t"/>
        </a:scene3d>
        <a:sp3d>
          <a:bevelT prst="angle"/>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511791</xdr:colOff>
      <xdr:row>12</xdr:row>
      <xdr:rowOff>34119</xdr:rowOff>
    </xdr:from>
    <xdr:to>
      <xdr:col>14</xdr:col>
      <xdr:colOff>45493</xdr:colOff>
      <xdr:row>41</xdr:row>
      <xdr:rowOff>79611</xdr:rowOff>
    </xdr:to>
    <xdr:graphicFrame macro="">
      <xdr:nvGraphicFramePr>
        <xdr:cNvPr id="32" name="Chart 31">
          <a:extLst>
            <a:ext uri="{FF2B5EF4-FFF2-40B4-BE49-F238E27FC236}">
              <a16:creationId xmlns:a16="http://schemas.microsoft.com/office/drawing/2014/main" id="{FDD96A20-2655-4C1E-94DA-E1B78CFF9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159224</xdr:colOff>
      <xdr:row>12</xdr:row>
      <xdr:rowOff>56865</xdr:rowOff>
    </xdr:from>
    <xdr:to>
      <xdr:col>21</xdr:col>
      <xdr:colOff>90986</xdr:colOff>
      <xdr:row>41</xdr:row>
      <xdr:rowOff>68239</xdr:rowOff>
    </xdr:to>
    <xdr:sp macro="" textlink="">
      <xdr:nvSpPr>
        <xdr:cNvPr id="34" name="Rectangle 33">
          <a:extLst>
            <a:ext uri="{FF2B5EF4-FFF2-40B4-BE49-F238E27FC236}">
              <a16:creationId xmlns:a16="http://schemas.microsoft.com/office/drawing/2014/main" id="{AEF90B51-CCDC-4CDB-93FA-5B6491978C99}"/>
            </a:ext>
          </a:extLst>
        </xdr:cNvPr>
        <xdr:cNvSpPr/>
      </xdr:nvSpPr>
      <xdr:spPr>
        <a:xfrm>
          <a:off x="9166746" y="2536208"/>
          <a:ext cx="4503762" cy="5140658"/>
        </a:xfrm>
        <a:prstGeom prst="rect">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147851</xdr:colOff>
      <xdr:row>12</xdr:row>
      <xdr:rowOff>34120</xdr:rowOff>
    </xdr:from>
    <xdr:to>
      <xdr:col>21</xdr:col>
      <xdr:colOff>34120</xdr:colOff>
      <xdr:row>25</xdr:row>
      <xdr:rowOff>181969</xdr:rowOff>
    </xdr:to>
    <xdr:graphicFrame macro="">
      <xdr:nvGraphicFramePr>
        <xdr:cNvPr id="45" name="Chart 44">
          <a:extLst>
            <a:ext uri="{FF2B5EF4-FFF2-40B4-BE49-F238E27FC236}">
              <a16:creationId xmlns:a16="http://schemas.microsoft.com/office/drawing/2014/main" id="{BC0868D9-1E6F-4671-8369-B7A2567B2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102358</xdr:colOff>
      <xdr:row>6</xdr:row>
      <xdr:rowOff>22746</xdr:rowOff>
    </xdr:from>
    <xdr:to>
      <xdr:col>8</xdr:col>
      <xdr:colOff>602776</xdr:colOff>
      <xdr:row>10</xdr:row>
      <xdr:rowOff>170597</xdr:rowOff>
    </xdr:to>
    <xdr:graphicFrame macro="">
      <xdr:nvGraphicFramePr>
        <xdr:cNvPr id="46" name="Chart 45">
          <a:extLst>
            <a:ext uri="{FF2B5EF4-FFF2-40B4-BE49-F238E27FC236}">
              <a16:creationId xmlns:a16="http://schemas.microsoft.com/office/drawing/2014/main" id="{37778DCD-2EF0-41C2-9753-9DF44B890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454925</xdr:colOff>
      <xdr:row>6</xdr:row>
      <xdr:rowOff>45492</xdr:rowOff>
    </xdr:from>
    <xdr:to>
      <xdr:col>13</xdr:col>
      <xdr:colOff>545911</xdr:colOff>
      <xdr:row>10</xdr:row>
      <xdr:rowOff>159224</xdr:rowOff>
    </xdr:to>
    <xdr:graphicFrame macro="">
      <xdr:nvGraphicFramePr>
        <xdr:cNvPr id="47" name="Chart 46">
          <a:extLst>
            <a:ext uri="{FF2B5EF4-FFF2-40B4-BE49-F238E27FC236}">
              <a16:creationId xmlns:a16="http://schemas.microsoft.com/office/drawing/2014/main" id="{CFB8C4B8-EBDC-4375-9B90-1CD9FACAA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45491</xdr:colOff>
      <xdr:row>5</xdr:row>
      <xdr:rowOff>34119</xdr:rowOff>
    </xdr:from>
    <xdr:to>
      <xdr:col>4</xdr:col>
      <xdr:colOff>352567</xdr:colOff>
      <xdr:row>8</xdr:row>
      <xdr:rowOff>204717</xdr:rowOff>
    </xdr:to>
    <mc:AlternateContent xmlns:mc="http://schemas.openxmlformats.org/markup-compatibility/2006" xmlns:a14="http://schemas.microsoft.com/office/drawing/2010/main">
      <mc:Choice Requires="a14">
        <xdr:graphicFrame macro="">
          <xdr:nvGraphicFramePr>
            <xdr:cNvPr id="48" name="Quantity 1">
              <a:extLst>
                <a:ext uri="{FF2B5EF4-FFF2-40B4-BE49-F238E27FC236}">
                  <a16:creationId xmlns:a16="http://schemas.microsoft.com/office/drawing/2014/main" id="{47BE23BA-3FF4-4CA1-A0E8-0E91062989F0}"/>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45491" y="943970"/>
              <a:ext cx="2763673" cy="898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38670</xdr:colOff>
      <xdr:row>1</xdr:row>
      <xdr:rowOff>0</xdr:rowOff>
    </xdr:from>
    <xdr:to>
      <xdr:col>4</xdr:col>
      <xdr:colOff>341195</xdr:colOff>
      <xdr:row>5</xdr:row>
      <xdr:rowOff>11373</xdr:rowOff>
    </xdr:to>
    <mc:AlternateContent xmlns:mc="http://schemas.openxmlformats.org/markup-compatibility/2006" xmlns:a14="http://schemas.microsoft.com/office/drawing/2010/main">
      <mc:Choice Requires="a14">
        <xdr:graphicFrame macro="">
          <xdr:nvGraphicFramePr>
            <xdr:cNvPr id="49" name="Product_Category 1">
              <a:extLst>
                <a:ext uri="{FF2B5EF4-FFF2-40B4-BE49-F238E27FC236}">
                  <a16:creationId xmlns:a16="http://schemas.microsoft.com/office/drawing/2014/main" id="{28B26482-ADC6-4A2A-8B0F-B689BBC74EA5}"/>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38670" y="181970"/>
              <a:ext cx="2759122" cy="739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147851</xdr:colOff>
      <xdr:row>26</xdr:row>
      <xdr:rowOff>45493</xdr:rowOff>
    </xdr:from>
    <xdr:to>
      <xdr:col>4</xdr:col>
      <xdr:colOff>261582</xdr:colOff>
      <xdr:row>41</xdr:row>
      <xdr:rowOff>11373</xdr:rowOff>
    </xdr:to>
    <mc:AlternateContent xmlns:mc="http://schemas.openxmlformats.org/markup-compatibility/2006" xmlns:a14="http://schemas.microsoft.com/office/drawing/2010/main">
      <mc:Choice Requires="a14">
        <xdr:graphicFrame macro="">
          <xdr:nvGraphicFramePr>
            <xdr:cNvPr id="50" name="Customer_Name 1">
              <a:extLst>
                <a:ext uri="{FF2B5EF4-FFF2-40B4-BE49-F238E27FC236}">
                  <a16:creationId xmlns:a16="http://schemas.microsoft.com/office/drawing/2014/main" id="{77CBA2D6-C0C3-4455-8917-AD0B0EEA0251}"/>
                </a:ext>
              </a:extLst>
            </xdr:cNvPr>
            <xdr:cNvGraphicFramePr/>
          </xdr:nvGraphicFramePr>
          <xdr:xfrm>
            <a:off x="0" y="0"/>
            <a:ext cx="0" cy="0"/>
          </xdr:xfrm>
          <a:graphic>
            <a:graphicData uri="http://schemas.microsoft.com/office/drawing/2010/slicer">
              <sle:slicer xmlns:sle="http://schemas.microsoft.com/office/drawing/2010/slicer" name="Customer_Name 1"/>
            </a:graphicData>
          </a:graphic>
        </xdr:graphicFrame>
      </mc:Choice>
      <mc:Fallback xmlns="">
        <xdr:sp macro="" textlink="">
          <xdr:nvSpPr>
            <xdr:cNvPr id="0" name=""/>
            <xdr:cNvSpPr>
              <a:spLocks noTextEdit="1"/>
            </xdr:cNvSpPr>
          </xdr:nvSpPr>
          <xdr:spPr>
            <a:xfrm>
              <a:off x="147851" y="5072418"/>
              <a:ext cx="2570328" cy="2695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147852</xdr:colOff>
      <xdr:row>26</xdr:row>
      <xdr:rowOff>22749</xdr:rowOff>
    </xdr:from>
    <xdr:to>
      <xdr:col>21</xdr:col>
      <xdr:colOff>45494</xdr:colOff>
      <xdr:row>41</xdr:row>
      <xdr:rowOff>36396</xdr:rowOff>
    </xdr:to>
    <xdr:graphicFrame macro="">
      <xdr:nvGraphicFramePr>
        <xdr:cNvPr id="52" name="Chart 51">
          <a:extLst>
            <a:ext uri="{FF2B5EF4-FFF2-40B4-BE49-F238E27FC236}">
              <a16:creationId xmlns:a16="http://schemas.microsoft.com/office/drawing/2014/main" id="{9CA4F64E-9546-4420-BD14-433219E14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34121</xdr:colOff>
      <xdr:row>8</xdr:row>
      <xdr:rowOff>216091</xdr:rowOff>
    </xdr:from>
    <xdr:to>
      <xdr:col>4</xdr:col>
      <xdr:colOff>329822</xdr:colOff>
      <xdr:row>16</xdr:row>
      <xdr:rowOff>11373</xdr:rowOff>
    </xdr:to>
    <mc:AlternateContent xmlns:mc="http://schemas.openxmlformats.org/markup-compatibility/2006" xmlns:a14="http://schemas.microsoft.com/office/drawing/2010/main">
      <mc:Choice Requires="a14">
        <xdr:graphicFrame macro="">
          <xdr:nvGraphicFramePr>
            <xdr:cNvPr id="3" name="Discount 1">
              <a:extLst>
                <a:ext uri="{FF2B5EF4-FFF2-40B4-BE49-F238E27FC236}">
                  <a16:creationId xmlns:a16="http://schemas.microsoft.com/office/drawing/2014/main" id="{C6569528-823C-45DC-B36B-079AA1802258}"/>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mlns="">
        <xdr:sp macro="" textlink="">
          <xdr:nvSpPr>
            <xdr:cNvPr id="0" name=""/>
            <xdr:cNvSpPr>
              <a:spLocks noTextEdit="1"/>
            </xdr:cNvSpPr>
          </xdr:nvSpPr>
          <xdr:spPr>
            <a:xfrm>
              <a:off x="34121" y="1853822"/>
              <a:ext cx="2752298" cy="1216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216089</xdr:colOff>
      <xdr:row>6</xdr:row>
      <xdr:rowOff>11375</xdr:rowOff>
    </xdr:from>
    <xdr:to>
      <xdr:col>33</xdr:col>
      <xdr:colOff>409432</xdr:colOff>
      <xdr:row>25</xdr:row>
      <xdr:rowOff>170597</xdr:rowOff>
    </xdr:to>
    <xdr:graphicFrame macro="">
      <xdr:nvGraphicFramePr>
        <xdr:cNvPr id="4" name="Chart 3">
          <a:extLst>
            <a:ext uri="{FF2B5EF4-FFF2-40B4-BE49-F238E27FC236}">
              <a16:creationId xmlns:a16="http://schemas.microsoft.com/office/drawing/2014/main" id="{7313D7C6-A5C8-4AC0-92D5-AC2676B14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227463</xdr:colOff>
      <xdr:row>26</xdr:row>
      <xdr:rowOff>0</xdr:rowOff>
    </xdr:from>
    <xdr:to>
      <xdr:col>33</xdr:col>
      <xdr:colOff>420805</xdr:colOff>
      <xdr:row>41</xdr:row>
      <xdr:rowOff>104633</xdr:rowOff>
    </xdr:to>
    <xdr:graphicFrame macro="">
      <xdr:nvGraphicFramePr>
        <xdr:cNvPr id="10" name="Chart 9">
          <a:extLst>
            <a:ext uri="{FF2B5EF4-FFF2-40B4-BE49-F238E27FC236}">
              <a16:creationId xmlns:a16="http://schemas.microsoft.com/office/drawing/2014/main" id="{9FF57B09-08EF-4D2A-93EC-832A6FC17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56865</xdr:colOff>
      <xdr:row>6</xdr:row>
      <xdr:rowOff>102359</xdr:rowOff>
    </xdr:from>
    <xdr:to>
      <xdr:col>20</xdr:col>
      <xdr:colOff>357116</xdr:colOff>
      <xdr:row>9</xdr:row>
      <xdr:rowOff>175147</xdr:rowOff>
    </xdr:to>
    <xdr:pic>
      <xdr:nvPicPr>
        <xdr:cNvPr id="13" name="Graphic 12" descr="Confused person with solid fill">
          <a:extLst>
            <a:ext uri="{FF2B5EF4-FFF2-40B4-BE49-F238E27FC236}">
              <a16:creationId xmlns:a16="http://schemas.microsoft.com/office/drawing/2014/main" id="{7AB8DB15-7C9E-5477-BF19-82EB7842AB0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408089" y="119418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312420</xdr:colOff>
      <xdr:row>5</xdr:row>
      <xdr:rowOff>26670</xdr:rowOff>
    </xdr:from>
    <xdr:to>
      <xdr:col>12</xdr:col>
      <xdr:colOff>129540</xdr:colOff>
      <xdr:row>20</xdr:row>
      <xdr:rowOff>26670</xdr:rowOff>
    </xdr:to>
    <xdr:graphicFrame macro="">
      <xdr:nvGraphicFramePr>
        <xdr:cNvPr id="2" name="Chart 1">
          <a:extLst>
            <a:ext uri="{FF2B5EF4-FFF2-40B4-BE49-F238E27FC236}">
              <a16:creationId xmlns:a16="http://schemas.microsoft.com/office/drawing/2014/main" id="{FC5779F0-2AC4-08EC-86CA-2DF1D7154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30480</xdr:colOff>
      <xdr:row>13</xdr:row>
      <xdr:rowOff>106680</xdr:rowOff>
    </xdr:from>
    <xdr:to>
      <xdr:col>19</xdr:col>
      <xdr:colOff>30480</xdr:colOff>
      <xdr:row>27</xdr:row>
      <xdr:rowOff>13335</xdr:rowOff>
    </xdr:to>
    <mc:AlternateContent xmlns:mc="http://schemas.openxmlformats.org/markup-compatibility/2006" xmlns:a14="http://schemas.microsoft.com/office/drawing/2010/main">
      <mc:Choice Requires="a14">
        <xdr:graphicFrame macro="">
          <xdr:nvGraphicFramePr>
            <xdr:cNvPr id="3" name="Customer_Name">
              <a:extLst>
                <a:ext uri="{FF2B5EF4-FFF2-40B4-BE49-F238E27FC236}">
                  <a16:creationId xmlns:a16="http://schemas.microsoft.com/office/drawing/2014/main" id="{242514FF-2A14-118B-2CA2-A3F17842B16C}"/>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10325100" y="2484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563880</xdr:colOff>
      <xdr:row>0</xdr:row>
      <xdr:rowOff>7620</xdr:rowOff>
    </xdr:from>
    <xdr:to>
      <xdr:col>19</xdr:col>
      <xdr:colOff>563880</xdr:colOff>
      <xdr:row>13</xdr:row>
      <xdr:rowOff>97155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64694E12-560D-E821-2C50-99CBA14952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58500" y="7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563880</xdr:colOff>
      <xdr:row>0</xdr:row>
      <xdr:rowOff>7620</xdr:rowOff>
    </xdr:from>
    <xdr:to>
      <xdr:col>22</xdr:col>
      <xdr:colOff>563880</xdr:colOff>
      <xdr:row>13</xdr:row>
      <xdr:rowOff>97155</xdr:rowOff>
    </xdr:to>
    <mc:AlternateContent xmlns:mc="http://schemas.openxmlformats.org/markup-compatibility/2006" xmlns:a14="http://schemas.microsoft.com/office/drawing/2010/main">
      <mc:Choice Requires="a14">
        <xdr:graphicFrame macro="">
          <xdr:nvGraphicFramePr>
            <xdr:cNvPr id="5" name="Product_Category">
              <a:extLst>
                <a:ext uri="{FF2B5EF4-FFF2-40B4-BE49-F238E27FC236}">
                  <a16:creationId xmlns:a16="http://schemas.microsoft.com/office/drawing/2014/main" id="{BC78EE37-06CA-50E3-FB1C-959C4D79B1D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2687300" y="7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15240</xdr:colOff>
      <xdr:row>11</xdr:row>
      <xdr:rowOff>167640</xdr:rowOff>
    </xdr:from>
    <xdr:to>
      <xdr:col>22</xdr:col>
      <xdr:colOff>15240</xdr:colOff>
      <xdr:row>25</xdr:row>
      <xdr:rowOff>74295</xdr:rowOff>
    </xdr:to>
    <mc:AlternateContent xmlns:mc="http://schemas.openxmlformats.org/markup-compatibility/2006" xmlns:a14="http://schemas.microsoft.com/office/drawing/2010/main">
      <mc:Choice Requires="a14">
        <xdr:graphicFrame macro="">
          <xdr:nvGraphicFramePr>
            <xdr:cNvPr id="7" name="Product_Name">
              <a:extLst>
                <a:ext uri="{FF2B5EF4-FFF2-40B4-BE49-F238E27FC236}">
                  <a16:creationId xmlns:a16="http://schemas.microsoft.com/office/drawing/2014/main" id="{64431ECA-9F42-A5AB-2E03-7BD579CFCDFF}"/>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2138660" y="2179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30480</xdr:colOff>
      <xdr:row>0</xdr:row>
      <xdr:rowOff>0</xdr:rowOff>
    </xdr:from>
    <xdr:to>
      <xdr:col>17</xdr:col>
      <xdr:colOff>30480</xdr:colOff>
      <xdr:row>13</xdr:row>
      <xdr:rowOff>89535</xdr:rowOff>
    </xdr:to>
    <mc:AlternateContent xmlns:mc="http://schemas.openxmlformats.org/markup-compatibility/2006" xmlns:a14="http://schemas.microsoft.com/office/drawing/2010/main">
      <mc:Choice Requires="a14">
        <xdr:graphicFrame macro="">
          <xdr:nvGraphicFramePr>
            <xdr:cNvPr id="9" name="Discount">
              <a:extLst>
                <a:ext uri="{FF2B5EF4-FFF2-40B4-BE49-F238E27FC236}">
                  <a16:creationId xmlns:a16="http://schemas.microsoft.com/office/drawing/2014/main" id="{4D875D79-C757-774D-7D0E-7BC1DD0060C7}"/>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910590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6</xdr:row>
      <xdr:rowOff>41910</xdr:rowOff>
    </xdr:from>
    <xdr:to>
      <xdr:col>11</xdr:col>
      <xdr:colOff>0</xdr:colOff>
      <xdr:row>21</xdr:row>
      <xdr:rowOff>41910</xdr:rowOff>
    </xdr:to>
    <xdr:graphicFrame macro="">
      <xdr:nvGraphicFramePr>
        <xdr:cNvPr id="2" name="Chart 1">
          <a:extLst>
            <a:ext uri="{FF2B5EF4-FFF2-40B4-BE49-F238E27FC236}">
              <a16:creationId xmlns:a16="http://schemas.microsoft.com/office/drawing/2014/main" id="{6F8D06BE-6882-FF59-3AC0-A9D32FBC7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68580</xdr:colOff>
      <xdr:row>6</xdr:row>
      <xdr:rowOff>19050</xdr:rowOff>
    </xdr:from>
    <xdr:to>
      <xdr:col>17</xdr:col>
      <xdr:colOff>495300</xdr:colOff>
      <xdr:row>19</xdr:row>
      <xdr:rowOff>7620</xdr:rowOff>
    </xdr:to>
    <xdr:graphicFrame macro="">
      <xdr:nvGraphicFramePr>
        <xdr:cNvPr id="3" name="Chart 2">
          <a:extLst>
            <a:ext uri="{FF2B5EF4-FFF2-40B4-BE49-F238E27FC236}">
              <a16:creationId xmlns:a16="http://schemas.microsoft.com/office/drawing/2014/main" id="{645B97F7-D0DE-F0D0-7D46-A3FAA4829F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6</xdr:row>
      <xdr:rowOff>41910</xdr:rowOff>
    </xdr:from>
    <xdr:to>
      <xdr:col>11</xdr:col>
      <xdr:colOff>0</xdr:colOff>
      <xdr:row>21</xdr:row>
      <xdr:rowOff>41910</xdr:rowOff>
    </xdr:to>
    <xdr:graphicFrame macro="">
      <xdr:nvGraphicFramePr>
        <xdr:cNvPr id="2" name="Chart 1">
          <a:extLst>
            <a:ext uri="{FF2B5EF4-FFF2-40B4-BE49-F238E27FC236}">
              <a16:creationId xmlns:a16="http://schemas.microsoft.com/office/drawing/2014/main" id="{0F50A105-5087-FCAF-C8C5-D60E63C5D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533400</xdr:colOff>
      <xdr:row>6</xdr:row>
      <xdr:rowOff>41910</xdr:rowOff>
    </xdr:from>
    <xdr:to>
      <xdr:col>13</xdr:col>
      <xdr:colOff>228600</xdr:colOff>
      <xdr:row>21</xdr:row>
      <xdr:rowOff>41910</xdr:rowOff>
    </xdr:to>
    <xdr:graphicFrame macro="">
      <xdr:nvGraphicFramePr>
        <xdr:cNvPr id="2" name="Chart 1">
          <a:extLst>
            <a:ext uri="{FF2B5EF4-FFF2-40B4-BE49-F238E27FC236}">
              <a16:creationId xmlns:a16="http://schemas.microsoft.com/office/drawing/2014/main" id="{5C8A7AF5-294A-5611-71ED-FDAE21EF0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906780</xdr:colOff>
      <xdr:row>6</xdr:row>
      <xdr:rowOff>41910</xdr:rowOff>
    </xdr:from>
    <xdr:to>
      <xdr:col>9</xdr:col>
      <xdr:colOff>228600</xdr:colOff>
      <xdr:row>21</xdr:row>
      <xdr:rowOff>41910</xdr:rowOff>
    </xdr:to>
    <xdr:graphicFrame macro="">
      <xdr:nvGraphicFramePr>
        <xdr:cNvPr id="2" name="Chart 1">
          <a:extLst>
            <a:ext uri="{FF2B5EF4-FFF2-40B4-BE49-F238E27FC236}">
              <a16:creationId xmlns:a16="http://schemas.microsoft.com/office/drawing/2014/main" id="{6A867E32-7E22-ABC4-B6E4-88375AA5A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281940</xdr:colOff>
      <xdr:row>7</xdr:row>
      <xdr:rowOff>72390</xdr:rowOff>
    </xdr:from>
    <xdr:to>
      <xdr:col>15</xdr:col>
      <xdr:colOff>342900</xdr:colOff>
      <xdr:row>18</xdr:row>
      <xdr:rowOff>114300</xdr:rowOff>
    </xdr:to>
    <xdr:graphicFrame macro="">
      <xdr:nvGraphicFramePr>
        <xdr:cNvPr id="3" name="Chart 2">
          <a:extLst>
            <a:ext uri="{FF2B5EF4-FFF2-40B4-BE49-F238E27FC236}">
              <a16:creationId xmlns:a16="http://schemas.microsoft.com/office/drawing/2014/main" id="{E2B48EAA-2554-5745-3B1D-B226687AE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1440180</xdr:colOff>
      <xdr:row>6</xdr:row>
      <xdr:rowOff>41910</xdr:rowOff>
    </xdr:from>
    <xdr:to>
      <xdr:col>10</xdr:col>
      <xdr:colOff>76200</xdr:colOff>
      <xdr:row>21</xdr:row>
      <xdr:rowOff>41910</xdr:rowOff>
    </xdr:to>
    <xdr:graphicFrame macro="">
      <xdr:nvGraphicFramePr>
        <xdr:cNvPr id="2" name="Chart 1">
          <a:extLst>
            <a:ext uri="{FF2B5EF4-FFF2-40B4-BE49-F238E27FC236}">
              <a16:creationId xmlns:a16="http://schemas.microsoft.com/office/drawing/2014/main" id="{2D70BD5E-604B-8DE7-3272-5B2D5D345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495300</xdr:colOff>
      <xdr:row>6</xdr:row>
      <xdr:rowOff>41910</xdr:rowOff>
    </xdr:from>
    <xdr:to>
      <xdr:col>11</xdr:col>
      <xdr:colOff>114300</xdr:colOff>
      <xdr:row>21</xdr:row>
      <xdr:rowOff>41910</xdr:rowOff>
    </xdr:to>
    <xdr:graphicFrame macro="">
      <xdr:nvGraphicFramePr>
        <xdr:cNvPr id="2" name="Chart 1">
          <a:extLst>
            <a:ext uri="{FF2B5EF4-FFF2-40B4-BE49-F238E27FC236}">
              <a16:creationId xmlns:a16="http://schemas.microsoft.com/office/drawing/2014/main" id="{FD01A890-6530-E1D6-06EC-A0D9DE3CD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327660</xdr:colOff>
      <xdr:row>3</xdr:row>
      <xdr:rowOff>140970</xdr:rowOff>
    </xdr:from>
    <xdr:to>
      <xdr:col>12</xdr:col>
      <xdr:colOff>22860</xdr:colOff>
      <xdr:row>18</xdr:row>
      <xdr:rowOff>140970</xdr:rowOff>
    </xdr:to>
    <xdr:graphicFrame macro="">
      <xdr:nvGraphicFramePr>
        <xdr:cNvPr id="2" name="Chart 1">
          <a:extLst>
            <a:ext uri="{FF2B5EF4-FFF2-40B4-BE49-F238E27FC236}">
              <a16:creationId xmlns:a16="http://schemas.microsoft.com/office/drawing/2014/main" id="{8CFB0ADE-A2B5-BCB8-1B00-919FEE663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hrahim ansari" refreshedDate="46010.74304212963" createdVersion="8" refreshedVersion="8" minRefreshableVersion="3" recordCount="500" xr:uid="{8033D13C-5EE2-4802-ADB0-E6D64807C673}">
  <cacheSource type="worksheet">
    <worksheetSource ref="A1:L501" sheet="Sales_Data"/>
  </cacheSource>
  <cacheFields count="12">
    <cacheField name="Order_ID" numFmtId="0">
      <sharedItems containsSemiMixedTypes="0" containsString="0" containsNumber="1" containsInteger="1" minValue="1001" maxValue="1500"/>
    </cacheField>
    <cacheField name="Order_Date" numFmtId="164">
      <sharedItems containsSemiMixedTypes="0" containsNonDate="0" containsDate="1" containsString="0" minDate="2024-01-02T00:00:00" maxDate="2024-06-30T00:00:00"/>
    </cacheField>
    <cacheField name="Customer_ID" numFmtId="0">
      <sharedItems/>
    </cacheField>
    <cacheField name="Customer_Name" numFmtId="0">
      <sharedItems count="12">
        <s v="Rohit Singh"/>
        <s v="Amit Sharma"/>
        <s v="Neha Verma"/>
        <s v="Vikas Gupta"/>
        <s v="Rahul Khanna"/>
        <s v="Karan Mehta"/>
        <s v="Sneha Iyer"/>
        <s v="Simran Kaur"/>
        <s v="Priya Patel"/>
        <s v="Pooja Nair"/>
        <s v="Arjun Rao"/>
        <s v="Anjali Das"/>
      </sharedItems>
    </cacheField>
    <cacheField name="Region" numFmtId="0">
      <sharedItems count="4">
        <s v="West"/>
        <s v="South"/>
        <s v="North"/>
        <s v="East"/>
      </sharedItems>
    </cacheField>
    <cacheField name="Product_Category" numFmtId="0">
      <sharedItems count="3">
        <s v="Electronics"/>
        <s v="Stationery"/>
        <s v="Furniture"/>
      </sharedItems>
    </cacheField>
    <cacheField name="Product_Name" numFmtId="0">
      <sharedItems count="10">
        <s v="Headphones"/>
        <s v="Pen Set"/>
        <s v="Smartphone"/>
        <s v="Bookshelf"/>
        <s v="Laptop"/>
        <s v="Diary"/>
        <s v="Office Chair"/>
        <s v="Tablet"/>
        <s v="Notebook Pack"/>
        <s v="Study Table"/>
      </sharedItems>
    </cacheField>
    <cacheField name="Unit_Price" numFmtId="0">
      <sharedItems containsSemiMixedTypes="0" containsString="0" containsNumber="1" containsInteger="1" minValue="200" maxValue="55000"/>
    </cacheField>
    <cacheField name="Quantity" numFmtId="0">
      <sharedItems containsSemiMixedTypes="0" containsString="0" containsNumber="1" containsInteger="1" minValue="1" maxValue="5" count="5">
        <n v="1"/>
        <n v="5"/>
        <n v="2"/>
        <n v="3"/>
        <n v="4"/>
      </sharedItems>
    </cacheField>
    <cacheField name="Discount" numFmtId="0">
      <sharedItems containsSemiMixedTypes="0" containsString="0" containsNumber="1" minValue="0" maxValue="0.15" count="4">
        <n v="0.1"/>
        <n v="0"/>
        <n v="0.05"/>
        <n v="0.15"/>
      </sharedItems>
    </cacheField>
    <cacheField name="Sales_Amount" numFmtId="0">
      <sharedItems containsSemiMixedTypes="0" containsString="0" containsNumber="1" minValue="170" maxValue="275000" count="163">
        <n v="2700"/>
        <n v="1000"/>
        <n v="900"/>
        <n v="110000"/>
        <n v="200"/>
        <n v="6000"/>
        <n v="18050"/>
        <n v="37400"/>
        <n v="93500"/>
        <n v="1662.5"/>
        <n v="350"/>
        <n v="40375"/>
        <n v="540"/>
        <n v="297.5"/>
        <n v="21375"/>
        <n v="1260"/>
        <n v="15300"/>
        <n v="1900"/>
        <n v="12750"/>
        <n v="450"/>
        <n v="104500"/>
        <n v="800"/>
        <n v="380"/>
        <n v="1050"/>
        <n v="41800"/>
        <n v="630"/>
        <n v="17100"/>
        <n v="1700"/>
        <n v="360"/>
        <n v="25500"/>
        <n v="32400"/>
        <n v="45125"/>
        <n v="62700"/>
        <n v="1487.5"/>
        <n v="22000"/>
        <n v="51000"/>
        <n v="6375"/>
        <n v="2375"/>
        <n v="892.5"/>
        <n v="34200"/>
        <n v="66000"/>
        <n v="8100"/>
        <n v="12000"/>
        <n v="3000"/>
        <n v="11400"/>
        <n v="13500"/>
        <n v="68400"/>
        <n v="600"/>
        <n v="140250"/>
        <n v="247500"/>
        <n v="7500"/>
        <n v="16200"/>
        <n v="1800"/>
        <n v="275000"/>
        <n v="187000"/>
        <n v="190"/>
        <n v="20400"/>
        <n v="40800"/>
        <n v="30600"/>
        <n v="48600"/>
        <n v="500"/>
        <n v="24225"/>
        <n v="60000"/>
        <n v="36000"/>
        <n v="850"/>
        <n v="47500"/>
        <n v="28500"/>
        <n v="1190"/>
        <n v="8075"/>
        <n v="14250"/>
        <n v="15000"/>
        <n v="20250"/>
        <n v="9000"/>
        <n v="45600"/>
        <n v="10200"/>
        <n v="7650"/>
        <n v="1500"/>
        <n v="30000"/>
        <n v="5700"/>
        <n v="945"/>
        <n v="22800"/>
        <n v="55000"/>
        <n v="2000"/>
        <n v="57000"/>
        <n v="165000"/>
        <n v="760"/>
        <n v="1350"/>
        <n v="8550"/>
        <n v="400"/>
        <n v="54000"/>
        <n v="27075"/>
        <n v="46750"/>
        <n v="76500"/>
        <n v="315"/>
        <n v="475"/>
        <n v="6750"/>
        <n v="21600"/>
        <n v="170"/>
        <n v="45900"/>
        <n v="43200"/>
        <n v="18000"/>
        <n v="74800"/>
        <n v="19800"/>
        <n v="1575"/>
        <n v="680"/>
        <n v="61200"/>
        <n v="1400"/>
        <n v="64800"/>
        <n v="1275"/>
        <n v="44000"/>
        <n v="2500"/>
        <n v="5400"/>
        <n v="9025"/>
        <n v="39600"/>
        <n v="2850"/>
        <n v="27000"/>
        <n v="595"/>
        <n v="99000"/>
        <n v="24000"/>
        <n v="10800"/>
        <n v="85500"/>
        <n v="49500"/>
        <n v="20900"/>
        <n v="52250"/>
        <n v="209000"/>
        <n v="88000"/>
        <n v="18700"/>
        <n v="36100"/>
        <n v="38000"/>
        <n v="22500"/>
        <n v="33750"/>
        <n v="340"/>
        <n v="156750"/>
        <n v="25650"/>
        <n v="233750"/>
        <n v="1750"/>
        <n v="31875"/>
        <n v="90000"/>
        <n v="79200"/>
        <n v="570"/>
        <n v="665"/>
        <n v="1330"/>
        <n v="83600"/>
        <n v="950"/>
        <n v="35625"/>
        <n v="997.5"/>
        <n v="32300"/>
        <n v="37500"/>
        <n v="19125"/>
        <n v="220000"/>
        <n v="2125"/>
        <n v="1425"/>
        <n v="148500"/>
        <n v="59400"/>
        <n v="510"/>
        <n v="198000"/>
        <n v="81000"/>
        <n v="56100"/>
        <n v="42750"/>
        <n v="2550"/>
        <n v="16150"/>
        <n v="332.5"/>
        <n v="700"/>
      </sharedItems>
    </cacheField>
    <cacheField name="Profit" numFmtId="0">
      <sharedItems containsSemiMixedTypes="0" containsString="0" containsNumber="1" minValue="28.55" maxValue="84911.26" count="500">
        <n v="656.26"/>
        <n v="219.31"/>
        <n v="162.36000000000001"/>
        <n v="26492.35"/>
        <n v="40.380000000000003"/>
        <n v="1747.6"/>
        <n v="5975.86"/>
        <n v="12614.18"/>
        <n v="23929.83"/>
        <n v="537.61"/>
        <n v="53.2"/>
        <n v="9799.0300000000007"/>
        <n v="112.78"/>
        <n v="52.94"/>
        <n v="6436.55"/>
        <n v="189.91"/>
        <n v="3904.64"/>
        <n v="22753"/>
        <n v="473.06"/>
        <n v="4404.8900000000003"/>
        <n v="102.93"/>
        <n v="29530.76"/>
        <n v="225.45"/>
        <n v="77.28"/>
        <n v="233.66"/>
        <n v="90.84"/>
        <n v="8212.7000000000007"/>
        <n v="19639.66"/>
        <n v="7616.52"/>
        <n v="200.36"/>
        <n v="2983.59"/>
        <n v="527.47"/>
        <n v="86.39"/>
        <n v="124.28"/>
        <n v="249.69"/>
        <n v="364.27"/>
        <n v="7174.95"/>
        <n v="10343.65"/>
        <n v="8923.91"/>
        <n v="29615.68"/>
        <n v="12102"/>
        <n v="10901.35"/>
        <n v="509.71"/>
        <n v="4940.59"/>
        <n v="11623.26"/>
        <n v="1480.34"/>
        <n v="798.51"/>
        <n v="6270.18"/>
        <n v="199.41"/>
        <n v="2800.71"/>
        <n v="11470.49"/>
        <n v="22969.85"/>
        <n v="2748.47"/>
        <n v="3707.89"/>
        <n v="753.99"/>
        <n v="1768.8"/>
        <n v="4534.0200000000004"/>
        <n v="6602.41"/>
        <n v="6908.38"/>
        <n v="20328.400000000001"/>
        <n v="124.79"/>
        <n v="10731.42"/>
        <n v="189.06"/>
        <n v="36990.69"/>
        <n v="156.22"/>
        <n v="63591.9"/>
        <n v="1671.79"/>
        <n v="4678.68"/>
        <n v="468.4"/>
        <n v="1920.53"/>
        <n v="84911.26"/>
        <n v="59205.35"/>
        <n v="3380.79"/>
        <n v="53.44"/>
        <n v="6210.38"/>
        <n v="34.54"/>
        <n v="7413.96"/>
        <n v="176.46"/>
        <n v="11452.38"/>
        <n v="7424.55"/>
        <n v="15614.46"/>
        <n v="1824.53"/>
        <n v="139.03"/>
        <n v="5253.73"/>
        <n v="14190.28"/>
        <n v="9435.48"/>
        <n v="252.02"/>
        <n v="11702.3"/>
        <n v="251.02"/>
        <n v="4876"/>
        <n v="288.98"/>
        <n v="4337.1000000000004"/>
        <n v="20897.79"/>
        <n v="6092.35"/>
        <n v="7851.76"/>
        <n v="397.65"/>
        <n v="2140.35"/>
        <n v="2536.5700000000002"/>
        <n v="6070.46"/>
        <n v="4862.07"/>
        <n v="3728.27"/>
        <n v="2652.36"/>
        <n v="7129.56"/>
        <n v="5439.46"/>
        <n v="21737.85"/>
        <n v="2395.67"/>
        <n v="1382.9"/>
        <n v="172.08"/>
        <n v="2295.8000000000002"/>
        <n v="701.53"/>
        <n v="363.08"/>
        <n v="21385.64"/>
        <n v="232.21"/>
        <n v="290.18"/>
        <n v="8049.26"/>
        <n v="18314.650000000001"/>
        <n v="866.56"/>
        <n v="182.29"/>
        <n v="6824.97"/>
        <n v="7466.89"/>
        <n v="121.31"/>
        <n v="125.5"/>
        <n v="8624.99"/>
        <n v="542.97"/>
        <n v="3771.21"/>
        <n v="12953.99"/>
        <n v="32705.49"/>
        <n v="3984.49"/>
        <n v="212.6"/>
        <n v="94.7"/>
        <n v="1998.46"/>
        <n v="351.77"/>
        <n v="2694.23"/>
        <n v="2386.54"/>
        <n v="5356.75"/>
        <n v="112.56"/>
        <n v="13474.12"/>
        <n v="8915.39"/>
        <n v="5673.97"/>
        <n v="6528.14"/>
        <n v="49926.32"/>
        <n v="5868"/>
        <n v="7976.98"/>
        <n v="15841.76"/>
        <n v="74.040000000000006"/>
        <n v="135"/>
        <n v="1355.69"/>
        <n v="66.36"/>
        <n v="7272.87"/>
        <n v="47669.14"/>
        <n v="4400.59"/>
        <n v="19297.7"/>
        <n v="28.55"/>
        <n v="22457"/>
        <n v="10605.23"/>
        <n v="150.91999999999999"/>
        <n v="115.16"/>
        <n v="618.70000000000005"/>
        <n v="7906.51"/>
        <n v="2832.74"/>
        <n v="409.68"/>
        <n v="98.32"/>
        <n v="4822.43"/>
        <n v="6519.93"/>
        <n v="10196.11"/>
        <n v="391.62"/>
        <n v="5726.16"/>
        <n v="9113.16"/>
        <n v="3743.92"/>
        <n v="1981.95"/>
        <n v="23552.959999999999"/>
        <n v="4147.17"/>
        <n v="3332.13"/>
        <n v="5846.18"/>
        <n v="11582.62"/>
        <n v="5255.55"/>
        <n v="5693.04"/>
        <n v="307.57"/>
        <n v="109.59"/>
        <n v="218.12"/>
        <n v="17738.349999999999"/>
        <n v="3167.77"/>
        <n v="257.86"/>
        <n v="377.21"/>
        <n v="146.76"/>
        <n v="278.35000000000002"/>
        <n v="14652.96"/>
        <n v="59.92"/>
        <n v="255.73"/>
        <n v="1469.81"/>
        <n v="3430.64"/>
        <n v="1582.32"/>
        <n v="11362.15"/>
        <n v="2654.79"/>
        <n v="577.41"/>
        <n v="4700.28"/>
        <n v="2719.35"/>
        <n v="778.31"/>
        <n v="4964.3999999999996"/>
        <n v="310.98"/>
        <n v="1496.54"/>
        <n v="9520.84"/>
        <n v="2274.75"/>
        <n v="154.87"/>
        <n v="10767.04"/>
        <n v="297.13"/>
        <n v="821.06"/>
        <n v="276.56"/>
        <n v="9008.7099999999991"/>
        <n v="11560.25"/>
        <n v="10978.05"/>
        <n v="19316.21"/>
        <n v="79.849999999999994"/>
        <n v="305.54000000000002"/>
        <n v="2062.46"/>
        <n v="204.73"/>
        <n v="9786.7900000000009"/>
        <n v="30738.76"/>
        <n v="6064"/>
        <n v="3970.02"/>
        <n v="3460.46"/>
        <n v="2248.89"/>
        <n v="2952.52"/>
        <n v="103.19"/>
        <n v="2527.04"/>
        <n v="7212.64"/>
        <n v="16961.28"/>
        <n v="279.92"/>
        <n v="6573.97"/>
        <n v="3822.65"/>
        <n v="2875.9"/>
        <n v="14241.63"/>
        <n v="229.4"/>
        <n v="22577.16"/>
        <n v="405.81"/>
        <n v="14867.48"/>
        <n v="8416.4599999999991"/>
        <n v="14332.36"/>
        <n v="5351.17"/>
        <n v="3243.86"/>
        <n v="12610.61"/>
        <n v="627.55999999999995"/>
        <n v="3957.89"/>
        <n v="8755.4"/>
        <n v="407.67"/>
        <n v="7846.72"/>
        <n v="16229.32"/>
        <n v="17435.759999999998"/>
        <n v="38296.47"/>
        <n v="16500.2"/>
        <n v="331.28"/>
        <n v="183.11"/>
        <n v="15707.32"/>
        <n v="3466.81"/>
        <n v="12501.19"/>
        <n v="6005.17"/>
        <n v="211.56"/>
        <n v="6128.28"/>
        <n v="2935.88"/>
        <n v="8794.1299999999992"/>
        <n v="424.53"/>
        <n v="14430.48"/>
        <n v="10788.55"/>
        <n v="156.54"/>
        <n v="6734.32"/>
        <n v="9054.07"/>
        <n v="3389.86"/>
        <n v="93.02"/>
        <n v="44431.09"/>
        <n v="5347.59"/>
        <n v="2530.52"/>
        <n v="4281.93"/>
        <n v="78.680000000000007"/>
        <n v="7482.6"/>
        <n v="35148.239999999998"/>
        <n v="4337.67"/>
        <n v="575.71"/>
        <n v="1165.52"/>
        <n v="5320.43"/>
        <n v="8088.45"/>
        <n v="10673.5"/>
        <n v="6528.09"/>
        <n v="393.43"/>
        <n v="336.83"/>
        <n v="24725.49"/>
        <n v="209.8"/>
        <n v="54514.01"/>
        <n v="128.69"/>
        <n v="176.07"/>
        <n v="14589.04"/>
        <n v="142.1"/>
        <n v="664.38"/>
        <n v="243.6"/>
        <n v="349.27"/>
        <n v="27020.38"/>
        <n v="6610.86"/>
        <n v="2416.77"/>
        <n v="167.46"/>
        <n v="8057.1"/>
        <n v="55782.14"/>
        <n v="108.36"/>
        <n v="7139.13"/>
        <n v="356.07"/>
        <n v="310.33"/>
        <n v="12427.42"/>
        <n v="17121.689999999999"/>
        <n v="190.38"/>
        <n v="3656.94"/>
        <n v="16857.060000000001"/>
        <n v="434.49"/>
        <n v="173.47"/>
        <n v="125.53"/>
        <n v="162.26"/>
        <n v="100.39"/>
        <n v="9293.24"/>
        <n v="28380.639999999999"/>
        <n v="5910.06"/>
        <n v="1013.99"/>
        <n v="2920.02"/>
        <n v="13995.04"/>
        <n v="22844.93"/>
        <n v="1792.15"/>
        <n v="1767.87"/>
        <n v="14962.53"/>
        <n v="397.86"/>
        <n v="207.65"/>
        <n v="8483.33"/>
        <n v="11386.45"/>
        <n v="218.94"/>
        <n v="2345.2199999999998"/>
        <n v="219.64"/>
        <n v="10749.7"/>
        <n v="1020.12"/>
        <n v="1960.97"/>
        <n v="6851.84"/>
        <n v="36.270000000000003"/>
        <n v="1691.47"/>
        <n v="229.3"/>
        <n v="1642.99"/>
        <n v="20149.990000000002"/>
        <n v="3609.65"/>
        <n v="120.81"/>
        <n v="3811.85"/>
        <n v="9349.93"/>
        <n v="847.99"/>
        <n v="7667.05"/>
        <n v="2542.02"/>
        <n v="5190.6099999999997"/>
        <n v="2252.79"/>
        <n v="1427.81"/>
        <n v="11797.38"/>
        <n v="2986.23"/>
        <n v="312.76"/>
        <n v="2640.31"/>
        <n v="5454.73"/>
        <n v="19158.509999999998"/>
        <n v="37887.61"/>
        <n v="36173.699999999997"/>
        <n v="2219.7399999999998"/>
        <n v="2555.27"/>
        <n v="1626.68"/>
        <n v="16739.03"/>
        <n v="11462.79"/>
        <n v="69026.97"/>
        <n v="1212.22"/>
        <n v="418.09"/>
        <n v="20311.61"/>
        <n v="327.88"/>
        <n v="4456.3500000000004"/>
        <n v="1541.79"/>
        <n v="76.959999999999994"/>
        <n v="8552.0400000000009"/>
        <n v="290.60000000000002"/>
        <n v="6268.42"/>
        <n v="42673.37"/>
        <n v="2124.79"/>
        <n v="7847.77"/>
        <n v="371.25"/>
        <n v="8974.86"/>
        <n v="1931.26"/>
        <n v="2058.19"/>
        <n v="112.06"/>
        <n v="39.85"/>
        <n v="169.84"/>
        <n v="137.35"/>
        <n v="7317.48"/>
        <n v="3249.26"/>
        <n v="18744.7"/>
        <n v="10858.41"/>
        <n v="408.05"/>
        <n v="7767.99"/>
        <n v="108.74"/>
        <n v="52809.11"/>
        <n v="184.78"/>
        <n v="4583.05"/>
        <n v="6187.88"/>
        <n v="23699"/>
        <n v="10734.12"/>
        <n v="862.97"/>
        <n v="25550.6"/>
        <n v="17647.64"/>
        <n v="17110.3"/>
        <n v="24525.72"/>
        <n v="1670.08"/>
        <n v="585.86"/>
        <n v="43238.61"/>
        <n v="12863.24"/>
        <n v="2272.65"/>
        <n v="22781.58"/>
        <n v="11852.79"/>
        <n v="57070.63"/>
        <n v="19003.18"/>
        <n v="2505.23"/>
        <n v="1709.22"/>
        <n v="19341.509999999998"/>
        <n v="17736.54"/>
        <n v="2300.66"/>
        <n v="4041.83"/>
        <n v="209.27"/>
        <n v="3518.57"/>
        <n v="628.82000000000005"/>
        <n v="13331.64"/>
        <n v="14152.38"/>
        <n v="301.64999999999998"/>
        <n v="393.38"/>
        <n v="1825.56"/>
        <n v="364.19"/>
        <n v="706.42"/>
        <n v="28488.66"/>
        <n v="7118.86"/>
        <n v="13592.35"/>
        <n v="1745.2"/>
        <n v="769.01"/>
        <n v="3421.71"/>
        <n v="199.7"/>
        <n v="519.01"/>
        <n v="15838.6"/>
        <n v="10833.03"/>
        <n v="29036.75"/>
        <n v="7348.94"/>
        <n v="692.82"/>
        <n v="12978.3"/>
        <n v="267"/>
        <n v="2717.13"/>
        <n v="1868.86"/>
        <n v="60.71"/>
        <n v="3646.66"/>
        <n v="389.51"/>
        <n v="3581.59"/>
        <n v="11239.46"/>
        <n v="11265.14"/>
        <n v="19116.099999999999"/>
        <n v="16020.36"/>
        <n v="3045.84"/>
        <n v="24809.14"/>
        <n v="10968.19"/>
        <n v="12016.97"/>
        <n v="9019.41"/>
        <n v="9941.99"/>
        <n v="8817.4599999999991"/>
        <n v="4377.92"/>
        <n v="200.75"/>
        <n v="26150.84"/>
        <n v="342.8"/>
        <n v="29081.09"/>
        <n v="4182.05"/>
        <n v="21240.61"/>
        <n v="7523.8"/>
        <n v="330.7"/>
        <n v="7356.54"/>
        <n v="6365.15"/>
        <n v="171.32"/>
        <n v="205.83"/>
        <n v="853.78"/>
        <n v="24136.93"/>
        <n v="3129.81"/>
        <n v="17956.98"/>
        <n v="98.23"/>
        <n v="10668.64"/>
        <n v="13694.38"/>
        <n v="225.91"/>
        <n v="2904.96"/>
        <n v="75.14"/>
        <n v="68.849999999999994"/>
        <n v="39991.72"/>
        <n v="2822.04"/>
        <n v="5727.08"/>
        <n v="2117.5300000000002"/>
        <n v="2314.5500000000002"/>
        <n v="12364.08"/>
        <n v="3876.07"/>
        <n v="206.88"/>
        <n v="880.35"/>
        <n v="169.45"/>
        <n v="27357.19"/>
        <n v="8984.39"/>
        <n v="1207.74"/>
        <n v="2060.5700000000002"/>
        <n v="593.55999999999995"/>
        <n v="5175.4799999999996"/>
      </sharedItems>
    </cacheField>
  </cacheFields>
  <extLst>
    <ext xmlns:x14="http://schemas.microsoft.com/office/spreadsheetml/2009/9/main" uri="{725AE2AE-9491-48be-B2B4-4EB974FC3084}">
      <x14:pivotCacheDefinition pivotCacheId="21358549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hrahim ansari" refreshedDate="46010.770301041666" createdVersion="8" refreshedVersion="8" minRefreshableVersion="3" recordCount="500" xr:uid="{4EB82C6F-2794-407E-BAFF-2A1F5DA49E2B}">
  <cacheSource type="worksheet">
    <worksheetSource ref="A1:N501" sheet="Sales_Data"/>
  </cacheSource>
  <cacheFields count="14">
    <cacheField name="Order_ID" numFmtId="0">
      <sharedItems containsSemiMixedTypes="0" containsString="0" containsNumber="1" containsInteger="1" minValue="1001" maxValue="1500"/>
    </cacheField>
    <cacheField name="Order_Date" numFmtId="164">
      <sharedItems containsSemiMixedTypes="0" containsNonDate="0" containsDate="1" containsString="0" minDate="2024-01-02T00:00:00" maxDate="2024-06-30T00:00:00"/>
    </cacheField>
    <cacheField name="Customer_ID" numFmtId="0">
      <sharedItems/>
    </cacheField>
    <cacheField name="Customer_Name" numFmtId="0">
      <sharedItems/>
    </cacheField>
    <cacheField name="Region" numFmtId="0">
      <sharedItems count="4">
        <s v="West"/>
        <s v="South"/>
        <s v="North"/>
        <s v="East"/>
      </sharedItems>
    </cacheField>
    <cacheField name="Product_Category" numFmtId="0">
      <sharedItems count="3">
        <s v="Electronics"/>
        <s v="Stationery"/>
        <s v="Furniture"/>
      </sharedItems>
    </cacheField>
    <cacheField name="Product_Name" numFmtId="0">
      <sharedItems count="10">
        <s v="Headphones"/>
        <s v="Pen Set"/>
        <s v="Smartphone"/>
        <s v="Bookshelf"/>
        <s v="Laptop"/>
        <s v="Diary"/>
        <s v="Office Chair"/>
        <s v="Tablet"/>
        <s v="Notebook Pack"/>
        <s v="Study Table"/>
      </sharedItems>
    </cacheField>
    <cacheField name="Unit_Price" numFmtId="0">
      <sharedItems containsSemiMixedTypes="0" containsString="0" containsNumber="1" containsInteger="1" minValue="200" maxValue="55000"/>
    </cacheField>
    <cacheField name="Quantity" numFmtId="0">
      <sharedItems containsSemiMixedTypes="0" containsString="0" containsNumber="1" containsInteger="1" minValue="1" maxValue="5"/>
    </cacheField>
    <cacheField name="Discount" numFmtId="0">
      <sharedItems containsSemiMixedTypes="0" containsString="0" containsNumber="1" minValue="0" maxValue="0.15"/>
    </cacheField>
    <cacheField name="Sales_Amount" numFmtId="0">
      <sharedItems containsSemiMixedTypes="0" containsString="0" containsNumber="1" minValue="170" maxValue="275000" count="163">
        <n v="2700"/>
        <n v="1000"/>
        <n v="900"/>
        <n v="110000"/>
        <n v="200"/>
        <n v="6000"/>
        <n v="18050"/>
        <n v="37400"/>
        <n v="93500"/>
        <n v="1662.5"/>
        <n v="350"/>
        <n v="40375"/>
        <n v="540"/>
        <n v="297.5"/>
        <n v="21375"/>
        <n v="1260"/>
        <n v="15300"/>
        <n v="1900"/>
        <n v="12750"/>
        <n v="450"/>
        <n v="104500"/>
        <n v="800"/>
        <n v="380"/>
        <n v="1050"/>
        <n v="41800"/>
        <n v="630"/>
        <n v="17100"/>
        <n v="1700"/>
        <n v="360"/>
        <n v="25500"/>
        <n v="32400"/>
        <n v="45125"/>
        <n v="62700"/>
        <n v="1487.5"/>
        <n v="22000"/>
        <n v="51000"/>
        <n v="6375"/>
        <n v="2375"/>
        <n v="892.5"/>
        <n v="34200"/>
        <n v="66000"/>
        <n v="8100"/>
        <n v="12000"/>
        <n v="3000"/>
        <n v="11400"/>
        <n v="13500"/>
        <n v="68400"/>
        <n v="600"/>
        <n v="140250"/>
        <n v="247500"/>
        <n v="7500"/>
        <n v="16200"/>
        <n v="1800"/>
        <n v="275000"/>
        <n v="187000"/>
        <n v="190"/>
        <n v="20400"/>
        <n v="40800"/>
        <n v="30600"/>
        <n v="48600"/>
        <n v="500"/>
        <n v="24225"/>
        <n v="60000"/>
        <n v="36000"/>
        <n v="850"/>
        <n v="47500"/>
        <n v="28500"/>
        <n v="1190"/>
        <n v="8075"/>
        <n v="14250"/>
        <n v="15000"/>
        <n v="20250"/>
        <n v="9000"/>
        <n v="45600"/>
        <n v="10200"/>
        <n v="7650"/>
        <n v="1500"/>
        <n v="30000"/>
        <n v="5700"/>
        <n v="945"/>
        <n v="22800"/>
        <n v="55000"/>
        <n v="2000"/>
        <n v="57000"/>
        <n v="165000"/>
        <n v="760"/>
        <n v="1350"/>
        <n v="8550"/>
        <n v="400"/>
        <n v="54000"/>
        <n v="27075"/>
        <n v="46750"/>
        <n v="76500"/>
        <n v="315"/>
        <n v="475"/>
        <n v="6750"/>
        <n v="21600"/>
        <n v="170"/>
        <n v="45900"/>
        <n v="43200"/>
        <n v="18000"/>
        <n v="74800"/>
        <n v="19800"/>
        <n v="1575"/>
        <n v="680"/>
        <n v="61200"/>
        <n v="1400"/>
        <n v="64800"/>
        <n v="1275"/>
        <n v="44000"/>
        <n v="2500"/>
        <n v="5400"/>
        <n v="9025"/>
        <n v="39600"/>
        <n v="2850"/>
        <n v="27000"/>
        <n v="595"/>
        <n v="99000"/>
        <n v="24000"/>
        <n v="10800"/>
        <n v="85500"/>
        <n v="49500"/>
        <n v="20900"/>
        <n v="52250"/>
        <n v="209000"/>
        <n v="88000"/>
        <n v="18700"/>
        <n v="36100"/>
        <n v="38000"/>
        <n v="22500"/>
        <n v="33750"/>
        <n v="340"/>
        <n v="156750"/>
        <n v="25650"/>
        <n v="233750"/>
        <n v="1750"/>
        <n v="31875"/>
        <n v="90000"/>
        <n v="79200"/>
        <n v="570"/>
        <n v="665"/>
        <n v="1330"/>
        <n v="83600"/>
        <n v="950"/>
        <n v="35625"/>
        <n v="997.5"/>
        <n v="32300"/>
        <n v="37500"/>
        <n v="19125"/>
        <n v="220000"/>
        <n v="2125"/>
        <n v="1425"/>
        <n v="148500"/>
        <n v="59400"/>
        <n v="510"/>
        <n v="198000"/>
        <n v="81000"/>
        <n v="56100"/>
        <n v="42750"/>
        <n v="2550"/>
        <n v="16150"/>
        <n v="332.5"/>
        <n v="700"/>
      </sharedItems>
    </cacheField>
    <cacheField name="Profit" numFmtId="0">
      <sharedItems containsSemiMixedTypes="0" containsString="0" containsNumber="1" minValue="28.55" maxValue="84911.26"/>
    </cacheField>
    <cacheField name="current date/time" numFmtId="22">
      <sharedItems containsSemiMixedTypes="0" containsNonDate="0" containsDate="1" containsString="0" minDate="2025-12-19T18:29:06" maxDate="2025-12-19T18:29:06"/>
    </cacheField>
    <cacheField name="Month name" numFmtId="14">
      <sharedItems count="6">
        <s v="Jan"/>
        <s v="May"/>
        <s v="Feb"/>
        <s v="Apr"/>
        <s v="Mar"/>
        <s v="Jun"/>
      </sharedItems>
    </cacheField>
  </cacheFields>
  <extLst>
    <ext xmlns:x14="http://schemas.microsoft.com/office/spreadsheetml/2009/9/main" uri="{725AE2AE-9491-48be-B2B4-4EB974FC3084}">
      <x14:pivotCacheDefinition pivotCacheId="2061590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d v="2024-01-10T00:00:00"/>
    <s v="C003"/>
    <x v="0"/>
    <x v="0"/>
    <x v="0"/>
    <x v="0"/>
    <n v="3000"/>
    <x v="0"/>
    <x v="0"/>
    <x v="0"/>
    <x v="0"/>
  </r>
  <r>
    <n v="1002"/>
    <d v="2024-05-10T00:00:00"/>
    <s v="C001"/>
    <x v="1"/>
    <x v="1"/>
    <x v="1"/>
    <x v="1"/>
    <n v="200"/>
    <x v="1"/>
    <x v="1"/>
    <x v="1"/>
    <x v="1"/>
  </r>
  <r>
    <n v="1003"/>
    <d v="2024-05-20T00:00:00"/>
    <s v="C002"/>
    <x v="2"/>
    <x v="1"/>
    <x v="1"/>
    <x v="1"/>
    <n v="200"/>
    <x v="1"/>
    <x v="0"/>
    <x v="2"/>
    <x v="2"/>
  </r>
  <r>
    <n v="1004"/>
    <d v="2024-02-06T00:00:00"/>
    <s v="C001"/>
    <x v="1"/>
    <x v="1"/>
    <x v="0"/>
    <x v="2"/>
    <n v="22000"/>
    <x v="1"/>
    <x v="1"/>
    <x v="3"/>
    <x v="3"/>
  </r>
  <r>
    <n v="1005"/>
    <d v="2024-04-25T00:00:00"/>
    <s v="C009"/>
    <x v="3"/>
    <x v="0"/>
    <x v="1"/>
    <x v="1"/>
    <n v="200"/>
    <x v="0"/>
    <x v="1"/>
    <x v="4"/>
    <x v="4"/>
  </r>
  <r>
    <n v="1006"/>
    <d v="2024-02-05T00:00:00"/>
    <s v="C011"/>
    <x v="4"/>
    <x v="2"/>
    <x v="0"/>
    <x v="0"/>
    <n v="3000"/>
    <x v="2"/>
    <x v="1"/>
    <x v="5"/>
    <x v="5"/>
  </r>
  <r>
    <n v="1007"/>
    <d v="2024-01-02T00:00:00"/>
    <s v="C005"/>
    <x v="5"/>
    <x v="3"/>
    <x v="2"/>
    <x v="3"/>
    <n v="9500"/>
    <x v="2"/>
    <x v="2"/>
    <x v="6"/>
    <x v="6"/>
  </r>
  <r>
    <n v="1008"/>
    <d v="2024-02-21T00:00:00"/>
    <s v="C003"/>
    <x v="0"/>
    <x v="2"/>
    <x v="0"/>
    <x v="2"/>
    <n v="22000"/>
    <x v="2"/>
    <x v="3"/>
    <x v="7"/>
    <x v="7"/>
  </r>
  <r>
    <n v="1009"/>
    <d v="2024-01-08T00:00:00"/>
    <s v="C003"/>
    <x v="0"/>
    <x v="2"/>
    <x v="0"/>
    <x v="4"/>
    <n v="55000"/>
    <x v="2"/>
    <x v="3"/>
    <x v="8"/>
    <x v="8"/>
  </r>
  <r>
    <n v="1010"/>
    <d v="2024-01-22T00:00:00"/>
    <s v="C006"/>
    <x v="6"/>
    <x v="1"/>
    <x v="1"/>
    <x v="5"/>
    <n v="350"/>
    <x v="1"/>
    <x v="2"/>
    <x v="9"/>
    <x v="9"/>
  </r>
  <r>
    <n v="1011"/>
    <d v="2024-03-24T00:00:00"/>
    <s v="C003"/>
    <x v="0"/>
    <x v="3"/>
    <x v="1"/>
    <x v="5"/>
    <n v="350"/>
    <x v="0"/>
    <x v="1"/>
    <x v="10"/>
    <x v="10"/>
  </r>
  <r>
    <n v="1012"/>
    <d v="2024-05-18T00:00:00"/>
    <s v="C012"/>
    <x v="7"/>
    <x v="0"/>
    <x v="2"/>
    <x v="3"/>
    <n v="9500"/>
    <x v="1"/>
    <x v="3"/>
    <x v="11"/>
    <x v="11"/>
  </r>
  <r>
    <n v="1013"/>
    <d v="2024-03-03T00:00:00"/>
    <s v="C004"/>
    <x v="8"/>
    <x v="2"/>
    <x v="1"/>
    <x v="1"/>
    <n v="200"/>
    <x v="3"/>
    <x v="0"/>
    <x v="12"/>
    <x v="12"/>
  </r>
  <r>
    <n v="1014"/>
    <d v="2024-02-22T00:00:00"/>
    <s v="C009"/>
    <x v="3"/>
    <x v="0"/>
    <x v="1"/>
    <x v="5"/>
    <n v="350"/>
    <x v="0"/>
    <x v="3"/>
    <x v="13"/>
    <x v="13"/>
  </r>
  <r>
    <n v="1015"/>
    <d v="2024-05-28T00:00:00"/>
    <s v="C003"/>
    <x v="0"/>
    <x v="0"/>
    <x v="2"/>
    <x v="6"/>
    <n v="7500"/>
    <x v="3"/>
    <x v="2"/>
    <x v="14"/>
    <x v="14"/>
  </r>
  <r>
    <n v="1016"/>
    <d v="2024-01-22T00:00:00"/>
    <s v="C011"/>
    <x v="4"/>
    <x v="2"/>
    <x v="1"/>
    <x v="5"/>
    <n v="350"/>
    <x v="4"/>
    <x v="0"/>
    <x v="15"/>
    <x v="15"/>
  </r>
  <r>
    <n v="1017"/>
    <d v="2024-04-15T00:00:00"/>
    <s v="C009"/>
    <x v="3"/>
    <x v="3"/>
    <x v="0"/>
    <x v="7"/>
    <n v="18000"/>
    <x v="0"/>
    <x v="3"/>
    <x v="16"/>
    <x v="16"/>
  </r>
  <r>
    <n v="1018"/>
    <d v="2024-06-22T00:00:00"/>
    <s v="C002"/>
    <x v="2"/>
    <x v="1"/>
    <x v="0"/>
    <x v="2"/>
    <n v="22000"/>
    <x v="1"/>
    <x v="1"/>
    <x v="3"/>
    <x v="17"/>
  </r>
  <r>
    <n v="1019"/>
    <d v="2024-03-06T00:00:00"/>
    <s v="C009"/>
    <x v="3"/>
    <x v="1"/>
    <x v="1"/>
    <x v="8"/>
    <n v="500"/>
    <x v="4"/>
    <x v="2"/>
    <x v="17"/>
    <x v="18"/>
  </r>
  <r>
    <n v="1020"/>
    <d v="2024-02-07T00:00:00"/>
    <s v="C001"/>
    <x v="1"/>
    <x v="1"/>
    <x v="2"/>
    <x v="6"/>
    <n v="7500"/>
    <x v="2"/>
    <x v="3"/>
    <x v="18"/>
    <x v="19"/>
  </r>
  <r>
    <n v="1021"/>
    <d v="2024-05-12T00:00:00"/>
    <s v="C011"/>
    <x v="4"/>
    <x v="0"/>
    <x v="1"/>
    <x v="8"/>
    <n v="500"/>
    <x v="0"/>
    <x v="0"/>
    <x v="19"/>
    <x v="20"/>
  </r>
  <r>
    <n v="1022"/>
    <d v="2024-03-05T00:00:00"/>
    <s v="C006"/>
    <x v="6"/>
    <x v="3"/>
    <x v="0"/>
    <x v="2"/>
    <n v="22000"/>
    <x v="1"/>
    <x v="2"/>
    <x v="20"/>
    <x v="21"/>
  </r>
  <r>
    <n v="1023"/>
    <d v="2024-05-25T00:00:00"/>
    <s v="C003"/>
    <x v="0"/>
    <x v="3"/>
    <x v="1"/>
    <x v="1"/>
    <n v="200"/>
    <x v="4"/>
    <x v="1"/>
    <x v="21"/>
    <x v="22"/>
  </r>
  <r>
    <n v="1024"/>
    <d v="2024-02-03T00:00:00"/>
    <s v="C006"/>
    <x v="6"/>
    <x v="1"/>
    <x v="1"/>
    <x v="1"/>
    <n v="200"/>
    <x v="2"/>
    <x v="2"/>
    <x v="22"/>
    <x v="23"/>
  </r>
  <r>
    <n v="1025"/>
    <d v="2024-06-15T00:00:00"/>
    <s v="C008"/>
    <x v="9"/>
    <x v="1"/>
    <x v="1"/>
    <x v="5"/>
    <n v="350"/>
    <x v="3"/>
    <x v="1"/>
    <x v="23"/>
    <x v="24"/>
  </r>
  <r>
    <n v="1026"/>
    <d v="2024-03-14T00:00:00"/>
    <s v="C001"/>
    <x v="1"/>
    <x v="1"/>
    <x v="1"/>
    <x v="5"/>
    <n v="350"/>
    <x v="0"/>
    <x v="3"/>
    <x v="13"/>
    <x v="25"/>
  </r>
  <r>
    <n v="1027"/>
    <d v="2024-01-20T00:00:00"/>
    <s v="C009"/>
    <x v="3"/>
    <x v="1"/>
    <x v="2"/>
    <x v="3"/>
    <n v="9500"/>
    <x v="1"/>
    <x v="3"/>
    <x v="11"/>
    <x v="26"/>
  </r>
  <r>
    <n v="1028"/>
    <d v="2024-03-11T00:00:00"/>
    <s v="C009"/>
    <x v="3"/>
    <x v="1"/>
    <x v="0"/>
    <x v="4"/>
    <n v="55000"/>
    <x v="2"/>
    <x v="3"/>
    <x v="8"/>
    <x v="27"/>
  </r>
  <r>
    <n v="1029"/>
    <d v="2024-02-28T00:00:00"/>
    <s v="C006"/>
    <x v="6"/>
    <x v="1"/>
    <x v="0"/>
    <x v="2"/>
    <n v="22000"/>
    <x v="2"/>
    <x v="2"/>
    <x v="24"/>
    <x v="28"/>
  </r>
  <r>
    <n v="1030"/>
    <d v="2024-06-23T00:00:00"/>
    <s v="C006"/>
    <x v="6"/>
    <x v="3"/>
    <x v="1"/>
    <x v="5"/>
    <n v="350"/>
    <x v="2"/>
    <x v="0"/>
    <x v="25"/>
    <x v="29"/>
  </r>
  <r>
    <n v="1031"/>
    <d v="2024-03-06T00:00:00"/>
    <s v="C007"/>
    <x v="10"/>
    <x v="3"/>
    <x v="2"/>
    <x v="3"/>
    <n v="9500"/>
    <x v="2"/>
    <x v="0"/>
    <x v="26"/>
    <x v="30"/>
  </r>
  <r>
    <n v="1032"/>
    <d v="2024-02-04T00:00:00"/>
    <s v="C004"/>
    <x v="8"/>
    <x v="2"/>
    <x v="1"/>
    <x v="8"/>
    <n v="500"/>
    <x v="4"/>
    <x v="3"/>
    <x v="27"/>
    <x v="31"/>
  </r>
  <r>
    <n v="1033"/>
    <d v="2024-06-12T00:00:00"/>
    <s v="C003"/>
    <x v="0"/>
    <x v="0"/>
    <x v="1"/>
    <x v="1"/>
    <n v="200"/>
    <x v="2"/>
    <x v="2"/>
    <x v="22"/>
    <x v="32"/>
  </r>
  <r>
    <n v="1034"/>
    <d v="2024-01-13T00:00:00"/>
    <s v="C008"/>
    <x v="9"/>
    <x v="2"/>
    <x v="1"/>
    <x v="1"/>
    <n v="200"/>
    <x v="2"/>
    <x v="0"/>
    <x v="28"/>
    <x v="33"/>
  </r>
  <r>
    <n v="1035"/>
    <d v="2024-01-27T00:00:00"/>
    <s v="C006"/>
    <x v="6"/>
    <x v="0"/>
    <x v="1"/>
    <x v="1"/>
    <n v="200"/>
    <x v="1"/>
    <x v="1"/>
    <x v="1"/>
    <x v="34"/>
  </r>
  <r>
    <n v="1036"/>
    <d v="2024-03-15T00:00:00"/>
    <s v="C012"/>
    <x v="7"/>
    <x v="3"/>
    <x v="1"/>
    <x v="5"/>
    <n v="350"/>
    <x v="3"/>
    <x v="1"/>
    <x v="23"/>
    <x v="35"/>
  </r>
  <r>
    <n v="1037"/>
    <d v="2024-01-10T00:00:00"/>
    <s v="C004"/>
    <x v="8"/>
    <x v="1"/>
    <x v="2"/>
    <x v="6"/>
    <n v="7500"/>
    <x v="4"/>
    <x v="3"/>
    <x v="29"/>
    <x v="36"/>
  </r>
  <r>
    <n v="1038"/>
    <d v="2024-06-17T00:00:00"/>
    <s v="C006"/>
    <x v="6"/>
    <x v="3"/>
    <x v="0"/>
    <x v="7"/>
    <n v="18000"/>
    <x v="2"/>
    <x v="0"/>
    <x v="30"/>
    <x v="37"/>
  </r>
  <r>
    <n v="1039"/>
    <d v="2024-04-05T00:00:00"/>
    <s v="C009"/>
    <x v="3"/>
    <x v="1"/>
    <x v="0"/>
    <x v="2"/>
    <n v="22000"/>
    <x v="2"/>
    <x v="2"/>
    <x v="24"/>
    <x v="38"/>
  </r>
  <r>
    <n v="1040"/>
    <d v="2024-05-15T00:00:00"/>
    <s v="C010"/>
    <x v="11"/>
    <x v="3"/>
    <x v="0"/>
    <x v="4"/>
    <n v="55000"/>
    <x v="2"/>
    <x v="2"/>
    <x v="20"/>
    <x v="39"/>
  </r>
  <r>
    <n v="1041"/>
    <d v="2024-01-12T00:00:00"/>
    <s v="C004"/>
    <x v="8"/>
    <x v="3"/>
    <x v="2"/>
    <x v="3"/>
    <n v="9500"/>
    <x v="1"/>
    <x v="2"/>
    <x v="31"/>
    <x v="40"/>
  </r>
  <r>
    <n v="1042"/>
    <d v="2024-01-23T00:00:00"/>
    <s v="C010"/>
    <x v="11"/>
    <x v="0"/>
    <x v="0"/>
    <x v="2"/>
    <n v="22000"/>
    <x v="3"/>
    <x v="2"/>
    <x v="32"/>
    <x v="41"/>
  </r>
  <r>
    <n v="1043"/>
    <d v="2024-03-22T00:00:00"/>
    <s v="C006"/>
    <x v="6"/>
    <x v="3"/>
    <x v="1"/>
    <x v="5"/>
    <n v="350"/>
    <x v="1"/>
    <x v="3"/>
    <x v="33"/>
    <x v="42"/>
  </r>
  <r>
    <n v="1044"/>
    <d v="2024-05-09T00:00:00"/>
    <s v="C001"/>
    <x v="1"/>
    <x v="1"/>
    <x v="0"/>
    <x v="2"/>
    <n v="22000"/>
    <x v="0"/>
    <x v="1"/>
    <x v="34"/>
    <x v="43"/>
  </r>
  <r>
    <n v="1045"/>
    <d v="2024-04-25T00:00:00"/>
    <s v="C008"/>
    <x v="9"/>
    <x v="2"/>
    <x v="2"/>
    <x v="9"/>
    <n v="12000"/>
    <x v="1"/>
    <x v="3"/>
    <x v="35"/>
    <x v="44"/>
  </r>
  <r>
    <n v="1046"/>
    <d v="2024-05-18T00:00:00"/>
    <s v="C010"/>
    <x v="11"/>
    <x v="3"/>
    <x v="2"/>
    <x v="6"/>
    <n v="7500"/>
    <x v="0"/>
    <x v="3"/>
    <x v="36"/>
    <x v="45"/>
  </r>
  <r>
    <n v="1047"/>
    <d v="2024-03-10T00:00:00"/>
    <s v="C003"/>
    <x v="0"/>
    <x v="0"/>
    <x v="1"/>
    <x v="8"/>
    <n v="500"/>
    <x v="1"/>
    <x v="2"/>
    <x v="37"/>
    <x v="46"/>
  </r>
  <r>
    <n v="1048"/>
    <d v="2024-03-08T00:00:00"/>
    <s v="C009"/>
    <x v="3"/>
    <x v="0"/>
    <x v="2"/>
    <x v="6"/>
    <n v="7500"/>
    <x v="3"/>
    <x v="2"/>
    <x v="14"/>
    <x v="47"/>
  </r>
  <r>
    <n v="1049"/>
    <d v="2024-01-09T00:00:00"/>
    <s v="C008"/>
    <x v="9"/>
    <x v="0"/>
    <x v="1"/>
    <x v="5"/>
    <n v="350"/>
    <x v="3"/>
    <x v="3"/>
    <x v="38"/>
    <x v="48"/>
  </r>
  <r>
    <n v="1050"/>
    <d v="2024-04-03T00:00:00"/>
    <s v="C011"/>
    <x v="4"/>
    <x v="1"/>
    <x v="0"/>
    <x v="7"/>
    <n v="18000"/>
    <x v="0"/>
    <x v="3"/>
    <x v="16"/>
    <x v="49"/>
  </r>
  <r>
    <n v="1051"/>
    <d v="2024-02-17T00:00:00"/>
    <s v="C009"/>
    <x v="3"/>
    <x v="2"/>
    <x v="2"/>
    <x v="9"/>
    <n v="12000"/>
    <x v="3"/>
    <x v="2"/>
    <x v="39"/>
    <x v="50"/>
  </r>
  <r>
    <n v="1052"/>
    <d v="2024-04-29T00:00:00"/>
    <s v="C012"/>
    <x v="7"/>
    <x v="2"/>
    <x v="0"/>
    <x v="2"/>
    <n v="22000"/>
    <x v="3"/>
    <x v="1"/>
    <x v="40"/>
    <x v="51"/>
  </r>
  <r>
    <n v="1053"/>
    <d v="2024-02-27T00:00:00"/>
    <s v="C003"/>
    <x v="0"/>
    <x v="0"/>
    <x v="0"/>
    <x v="0"/>
    <n v="3000"/>
    <x v="3"/>
    <x v="0"/>
    <x v="41"/>
    <x v="52"/>
  </r>
  <r>
    <n v="1054"/>
    <d v="2024-02-28T00:00:00"/>
    <s v="C005"/>
    <x v="5"/>
    <x v="2"/>
    <x v="2"/>
    <x v="9"/>
    <n v="12000"/>
    <x v="0"/>
    <x v="1"/>
    <x v="42"/>
    <x v="53"/>
  </r>
  <r>
    <n v="1055"/>
    <d v="2024-01-22T00:00:00"/>
    <s v="C002"/>
    <x v="2"/>
    <x v="0"/>
    <x v="0"/>
    <x v="0"/>
    <n v="3000"/>
    <x v="0"/>
    <x v="1"/>
    <x v="43"/>
    <x v="54"/>
  </r>
  <r>
    <n v="1056"/>
    <d v="2024-01-10T00:00:00"/>
    <s v="C011"/>
    <x v="4"/>
    <x v="1"/>
    <x v="2"/>
    <x v="9"/>
    <n v="12000"/>
    <x v="0"/>
    <x v="2"/>
    <x v="44"/>
    <x v="55"/>
  </r>
  <r>
    <n v="1057"/>
    <d v="2024-02-06T00:00:00"/>
    <s v="C004"/>
    <x v="8"/>
    <x v="1"/>
    <x v="2"/>
    <x v="6"/>
    <n v="7500"/>
    <x v="2"/>
    <x v="0"/>
    <x v="45"/>
    <x v="56"/>
  </r>
  <r>
    <n v="1058"/>
    <d v="2024-01-30T00:00:00"/>
    <s v="C003"/>
    <x v="0"/>
    <x v="2"/>
    <x v="2"/>
    <x v="6"/>
    <n v="7500"/>
    <x v="4"/>
    <x v="3"/>
    <x v="29"/>
    <x v="57"/>
  </r>
  <r>
    <n v="1059"/>
    <d v="2024-01-22T00:00:00"/>
    <s v="C011"/>
    <x v="4"/>
    <x v="2"/>
    <x v="0"/>
    <x v="7"/>
    <n v="18000"/>
    <x v="2"/>
    <x v="0"/>
    <x v="30"/>
    <x v="58"/>
  </r>
  <r>
    <n v="1060"/>
    <d v="2024-05-08T00:00:00"/>
    <s v="C011"/>
    <x v="4"/>
    <x v="3"/>
    <x v="0"/>
    <x v="7"/>
    <n v="18000"/>
    <x v="4"/>
    <x v="2"/>
    <x v="46"/>
    <x v="59"/>
  </r>
  <r>
    <n v="1061"/>
    <d v="2024-01-09T00:00:00"/>
    <s v="C009"/>
    <x v="3"/>
    <x v="2"/>
    <x v="1"/>
    <x v="1"/>
    <n v="200"/>
    <x v="3"/>
    <x v="1"/>
    <x v="47"/>
    <x v="60"/>
  </r>
  <r>
    <n v="1062"/>
    <d v="2024-05-31T00:00:00"/>
    <s v="C003"/>
    <x v="0"/>
    <x v="1"/>
    <x v="2"/>
    <x v="3"/>
    <n v="9500"/>
    <x v="1"/>
    <x v="3"/>
    <x v="11"/>
    <x v="61"/>
  </r>
  <r>
    <n v="1063"/>
    <d v="2024-05-14T00:00:00"/>
    <s v="C007"/>
    <x v="10"/>
    <x v="2"/>
    <x v="1"/>
    <x v="8"/>
    <n v="500"/>
    <x v="2"/>
    <x v="0"/>
    <x v="2"/>
    <x v="62"/>
  </r>
  <r>
    <n v="1064"/>
    <d v="2024-02-20T00:00:00"/>
    <s v="C001"/>
    <x v="1"/>
    <x v="1"/>
    <x v="0"/>
    <x v="4"/>
    <n v="55000"/>
    <x v="3"/>
    <x v="3"/>
    <x v="48"/>
    <x v="63"/>
  </r>
  <r>
    <n v="1065"/>
    <d v="2024-02-06T00:00:00"/>
    <s v="C002"/>
    <x v="2"/>
    <x v="0"/>
    <x v="1"/>
    <x v="1"/>
    <n v="200"/>
    <x v="3"/>
    <x v="0"/>
    <x v="12"/>
    <x v="64"/>
  </r>
  <r>
    <n v="1066"/>
    <d v="2024-05-27T00:00:00"/>
    <s v="C007"/>
    <x v="10"/>
    <x v="1"/>
    <x v="0"/>
    <x v="4"/>
    <n v="55000"/>
    <x v="1"/>
    <x v="0"/>
    <x v="49"/>
    <x v="65"/>
  </r>
  <r>
    <n v="1067"/>
    <d v="2024-05-10T00:00:00"/>
    <s v="C012"/>
    <x v="7"/>
    <x v="3"/>
    <x v="2"/>
    <x v="6"/>
    <n v="7500"/>
    <x v="0"/>
    <x v="1"/>
    <x v="50"/>
    <x v="66"/>
  </r>
  <r>
    <n v="1068"/>
    <d v="2024-03-09T00:00:00"/>
    <s v="C006"/>
    <x v="6"/>
    <x v="3"/>
    <x v="0"/>
    <x v="7"/>
    <n v="18000"/>
    <x v="0"/>
    <x v="0"/>
    <x v="51"/>
    <x v="67"/>
  </r>
  <r>
    <n v="1069"/>
    <d v="2024-06-11T00:00:00"/>
    <s v="C007"/>
    <x v="10"/>
    <x v="0"/>
    <x v="1"/>
    <x v="8"/>
    <n v="500"/>
    <x v="4"/>
    <x v="0"/>
    <x v="52"/>
    <x v="68"/>
  </r>
  <r>
    <n v="1070"/>
    <d v="2024-01-04T00:00:00"/>
    <s v="C010"/>
    <x v="11"/>
    <x v="1"/>
    <x v="0"/>
    <x v="0"/>
    <n v="3000"/>
    <x v="4"/>
    <x v="1"/>
    <x v="42"/>
    <x v="69"/>
  </r>
  <r>
    <n v="1071"/>
    <d v="2024-06-20T00:00:00"/>
    <s v="C007"/>
    <x v="10"/>
    <x v="0"/>
    <x v="0"/>
    <x v="4"/>
    <n v="55000"/>
    <x v="1"/>
    <x v="1"/>
    <x v="53"/>
    <x v="70"/>
  </r>
  <r>
    <n v="1072"/>
    <d v="2024-01-25T00:00:00"/>
    <s v="C004"/>
    <x v="8"/>
    <x v="0"/>
    <x v="0"/>
    <x v="4"/>
    <n v="55000"/>
    <x v="4"/>
    <x v="3"/>
    <x v="54"/>
    <x v="71"/>
  </r>
  <r>
    <n v="1073"/>
    <d v="2024-01-11T00:00:00"/>
    <s v="C009"/>
    <x v="3"/>
    <x v="1"/>
    <x v="2"/>
    <x v="9"/>
    <n v="12000"/>
    <x v="0"/>
    <x v="1"/>
    <x v="42"/>
    <x v="72"/>
  </r>
  <r>
    <n v="1074"/>
    <d v="2024-01-15T00:00:00"/>
    <s v="C004"/>
    <x v="8"/>
    <x v="1"/>
    <x v="1"/>
    <x v="1"/>
    <n v="200"/>
    <x v="0"/>
    <x v="2"/>
    <x v="55"/>
    <x v="73"/>
  </r>
  <r>
    <n v="1075"/>
    <d v="2024-01-10T00:00:00"/>
    <s v="C005"/>
    <x v="5"/>
    <x v="3"/>
    <x v="2"/>
    <x v="9"/>
    <n v="12000"/>
    <x v="2"/>
    <x v="3"/>
    <x v="56"/>
    <x v="74"/>
  </r>
  <r>
    <n v="1076"/>
    <d v="2024-02-13T00:00:00"/>
    <s v="C007"/>
    <x v="10"/>
    <x v="2"/>
    <x v="1"/>
    <x v="1"/>
    <n v="200"/>
    <x v="0"/>
    <x v="1"/>
    <x v="4"/>
    <x v="75"/>
  </r>
  <r>
    <n v="1077"/>
    <d v="2024-05-10T00:00:00"/>
    <s v="C005"/>
    <x v="5"/>
    <x v="2"/>
    <x v="2"/>
    <x v="9"/>
    <n v="12000"/>
    <x v="4"/>
    <x v="3"/>
    <x v="57"/>
    <x v="76"/>
  </r>
  <r>
    <n v="1078"/>
    <d v="2024-01-09T00:00:00"/>
    <s v="C002"/>
    <x v="2"/>
    <x v="2"/>
    <x v="1"/>
    <x v="1"/>
    <n v="200"/>
    <x v="3"/>
    <x v="1"/>
    <x v="47"/>
    <x v="77"/>
  </r>
  <r>
    <n v="1079"/>
    <d v="2024-02-13T00:00:00"/>
    <s v="C010"/>
    <x v="11"/>
    <x v="1"/>
    <x v="2"/>
    <x v="3"/>
    <n v="9500"/>
    <x v="4"/>
    <x v="0"/>
    <x v="39"/>
    <x v="78"/>
  </r>
  <r>
    <n v="1080"/>
    <d v="2024-01-11T00:00:00"/>
    <s v="C011"/>
    <x v="4"/>
    <x v="0"/>
    <x v="0"/>
    <x v="7"/>
    <n v="18000"/>
    <x v="2"/>
    <x v="3"/>
    <x v="58"/>
    <x v="79"/>
  </r>
  <r>
    <n v="1081"/>
    <d v="2024-05-03T00:00:00"/>
    <s v="C010"/>
    <x v="11"/>
    <x v="1"/>
    <x v="0"/>
    <x v="7"/>
    <n v="18000"/>
    <x v="3"/>
    <x v="0"/>
    <x v="59"/>
    <x v="80"/>
  </r>
  <r>
    <n v="1082"/>
    <d v="2024-02-09T00:00:00"/>
    <s v="C010"/>
    <x v="11"/>
    <x v="3"/>
    <x v="2"/>
    <x v="6"/>
    <n v="7500"/>
    <x v="0"/>
    <x v="3"/>
    <x v="36"/>
    <x v="81"/>
  </r>
  <r>
    <n v="1083"/>
    <d v="2024-06-07T00:00:00"/>
    <s v="C009"/>
    <x v="3"/>
    <x v="0"/>
    <x v="1"/>
    <x v="8"/>
    <n v="500"/>
    <x v="0"/>
    <x v="1"/>
    <x v="60"/>
    <x v="82"/>
  </r>
  <r>
    <n v="1084"/>
    <d v="2024-01-24T00:00:00"/>
    <s v="C010"/>
    <x v="11"/>
    <x v="1"/>
    <x v="2"/>
    <x v="3"/>
    <n v="9500"/>
    <x v="3"/>
    <x v="3"/>
    <x v="61"/>
    <x v="83"/>
  </r>
  <r>
    <n v="1085"/>
    <d v="2024-02-26T00:00:00"/>
    <s v="C006"/>
    <x v="6"/>
    <x v="0"/>
    <x v="2"/>
    <x v="9"/>
    <n v="12000"/>
    <x v="1"/>
    <x v="1"/>
    <x v="62"/>
    <x v="84"/>
  </r>
  <r>
    <n v="1086"/>
    <d v="2024-05-14T00:00:00"/>
    <s v="C005"/>
    <x v="5"/>
    <x v="2"/>
    <x v="2"/>
    <x v="9"/>
    <n v="12000"/>
    <x v="3"/>
    <x v="1"/>
    <x v="63"/>
    <x v="85"/>
  </r>
  <r>
    <n v="1087"/>
    <d v="2024-04-14T00:00:00"/>
    <s v="C012"/>
    <x v="7"/>
    <x v="1"/>
    <x v="1"/>
    <x v="1"/>
    <n v="200"/>
    <x v="1"/>
    <x v="3"/>
    <x v="64"/>
    <x v="86"/>
  </r>
  <r>
    <n v="1088"/>
    <d v="2024-02-25T00:00:00"/>
    <s v="C009"/>
    <x v="3"/>
    <x v="3"/>
    <x v="2"/>
    <x v="3"/>
    <n v="9500"/>
    <x v="1"/>
    <x v="1"/>
    <x v="65"/>
    <x v="87"/>
  </r>
  <r>
    <n v="1089"/>
    <d v="2024-01-03T00:00:00"/>
    <s v="C004"/>
    <x v="8"/>
    <x v="2"/>
    <x v="1"/>
    <x v="5"/>
    <n v="350"/>
    <x v="3"/>
    <x v="1"/>
    <x v="23"/>
    <x v="88"/>
  </r>
  <r>
    <n v="1090"/>
    <d v="2024-02-11T00:00:00"/>
    <s v="C009"/>
    <x v="3"/>
    <x v="0"/>
    <x v="2"/>
    <x v="3"/>
    <n v="9500"/>
    <x v="2"/>
    <x v="0"/>
    <x v="26"/>
    <x v="89"/>
  </r>
  <r>
    <n v="1091"/>
    <d v="2024-04-21T00:00:00"/>
    <s v="C001"/>
    <x v="1"/>
    <x v="2"/>
    <x v="1"/>
    <x v="5"/>
    <n v="350"/>
    <x v="3"/>
    <x v="1"/>
    <x v="23"/>
    <x v="90"/>
  </r>
  <r>
    <n v="1092"/>
    <d v="2024-03-05T00:00:00"/>
    <s v="C008"/>
    <x v="9"/>
    <x v="0"/>
    <x v="2"/>
    <x v="3"/>
    <n v="9500"/>
    <x v="3"/>
    <x v="1"/>
    <x v="66"/>
    <x v="91"/>
  </r>
  <r>
    <n v="1093"/>
    <d v="2024-01-18T00:00:00"/>
    <s v="C010"/>
    <x v="11"/>
    <x v="2"/>
    <x v="0"/>
    <x v="7"/>
    <n v="18000"/>
    <x v="4"/>
    <x v="2"/>
    <x v="46"/>
    <x v="92"/>
  </r>
  <r>
    <n v="1094"/>
    <d v="2024-02-11T00:00:00"/>
    <s v="C003"/>
    <x v="0"/>
    <x v="2"/>
    <x v="2"/>
    <x v="9"/>
    <n v="12000"/>
    <x v="3"/>
    <x v="3"/>
    <x v="58"/>
    <x v="93"/>
  </r>
  <r>
    <n v="1095"/>
    <d v="2024-06-14T00:00:00"/>
    <s v="C009"/>
    <x v="3"/>
    <x v="0"/>
    <x v="0"/>
    <x v="2"/>
    <n v="22000"/>
    <x v="2"/>
    <x v="3"/>
    <x v="7"/>
    <x v="94"/>
  </r>
  <r>
    <n v="1096"/>
    <d v="2024-05-08T00:00:00"/>
    <s v="C006"/>
    <x v="6"/>
    <x v="0"/>
    <x v="1"/>
    <x v="5"/>
    <n v="350"/>
    <x v="4"/>
    <x v="3"/>
    <x v="67"/>
    <x v="95"/>
  </r>
  <r>
    <n v="1097"/>
    <d v="2024-05-10T00:00:00"/>
    <s v="C005"/>
    <x v="5"/>
    <x v="3"/>
    <x v="2"/>
    <x v="3"/>
    <n v="9500"/>
    <x v="0"/>
    <x v="3"/>
    <x v="68"/>
    <x v="96"/>
  </r>
  <r>
    <n v="1098"/>
    <d v="2024-05-14T00:00:00"/>
    <s v="C007"/>
    <x v="10"/>
    <x v="3"/>
    <x v="2"/>
    <x v="6"/>
    <n v="7500"/>
    <x v="2"/>
    <x v="2"/>
    <x v="69"/>
    <x v="97"/>
  </r>
  <r>
    <n v="1099"/>
    <d v="2024-02-14T00:00:00"/>
    <s v="C004"/>
    <x v="8"/>
    <x v="1"/>
    <x v="0"/>
    <x v="2"/>
    <n v="22000"/>
    <x v="0"/>
    <x v="1"/>
    <x v="34"/>
    <x v="98"/>
  </r>
  <r>
    <n v="1100"/>
    <d v="2024-05-22T00:00:00"/>
    <s v="C009"/>
    <x v="3"/>
    <x v="1"/>
    <x v="2"/>
    <x v="6"/>
    <n v="7500"/>
    <x v="2"/>
    <x v="1"/>
    <x v="70"/>
    <x v="99"/>
  </r>
  <r>
    <n v="1101"/>
    <d v="2024-06-12T00:00:00"/>
    <s v="C011"/>
    <x v="4"/>
    <x v="2"/>
    <x v="2"/>
    <x v="6"/>
    <n v="7500"/>
    <x v="3"/>
    <x v="0"/>
    <x v="71"/>
    <x v="100"/>
  </r>
  <r>
    <n v="1102"/>
    <d v="2024-01-15T00:00:00"/>
    <s v="C012"/>
    <x v="7"/>
    <x v="0"/>
    <x v="0"/>
    <x v="0"/>
    <n v="3000"/>
    <x v="3"/>
    <x v="1"/>
    <x v="72"/>
    <x v="101"/>
  </r>
  <r>
    <n v="1103"/>
    <d v="2024-05-18T00:00:00"/>
    <s v="C004"/>
    <x v="8"/>
    <x v="0"/>
    <x v="2"/>
    <x v="9"/>
    <n v="12000"/>
    <x v="4"/>
    <x v="2"/>
    <x v="73"/>
    <x v="102"/>
  </r>
  <r>
    <n v="1104"/>
    <d v="2024-01-04T00:00:00"/>
    <s v="C011"/>
    <x v="4"/>
    <x v="1"/>
    <x v="2"/>
    <x v="6"/>
    <n v="7500"/>
    <x v="4"/>
    <x v="2"/>
    <x v="66"/>
    <x v="103"/>
  </r>
  <r>
    <n v="1105"/>
    <d v="2024-03-15T00:00:00"/>
    <s v="C007"/>
    <x v="10"/>
    <x v="3"/>
    <x v="0"/>
    <x v="4"/>
    <n v="55000"/>
    <x v="2"/>
    <x v="2"/>
    <x v="20"/>
    <x v="104"/>
  </r>
  <r>
    <n v="1106"/>
    <d v="2024-04-04T00:00:00"/>
    <s v="C003"/>
    <x v="0"/>
    <x v="0"/>
    <x v="2"/>
    <x v="9"/>
    <n v="12000"/>
    <x v="0"/>
    <x v="3"/>
    <x v="74"/>
    <x v="105"/>
  </r>
  <r>
    <n v="1107"/>
    <d v="2024-01-08T00:00:00"/>
    <s v="C001"/>
    <x v="1"/>
    <x v="0"/>
    <x v="0"/>
    <x v="0"/>
    <n v="3000"/>
    <x v="3"/>
    <x v="3"/>
    <x v="75"/>
    <x v="106"/>
  </r>
  <r>
    <n v="1108"/>
    <d v="2024-04-15T00:00:00"/>
    <s v="C004"/>
    <x v="8"/>
    <x v="2"/>
    <x v="1"/>
    <x v="5"/>
    <n v="350"/>
    <x v="2"/>
    <x v="0"/>
    <x v="25"/>
    <x v="107"/>
  </r>
  <r>
    <n v="1109"/>
    <d v="2024-05-10T00:00:00"/>
    <s v="C008"/>
    <x v="9"/>
    <x v="2"/>
    <x v="0"/>
    <x v="0"/>
    <n v="3000"/>
    <x v="3"/>
    <x v="0"/>
    <x v="41"/>
    <x v="108"/>
  </r>
  <r>
    <n v="1110"/>
    <d v="2024-05-04T00:00:00"/>
    <s v="C005"/>
    <x v="5"/>
    <x v="1"/>
    <x v="0"/>
    <x v="0"/>
    <n v="3000"/>
    <x v="0"/>
    <x v="0"/>
    <x v="0"/>
    <x v="109"/>
  </r>
  <r>
    <n v="1111"/>
    <d v="2024-01-28T00:00:00"/>
    <s v="C012"/>
    <x v="7"/>
    <x v="3"/>
    <x v="1"/>
    <x v="8"/>
    <n v="500"/>
    <x v="3"/>
    <x v="1"/>
    <x v="76"/>
    <x v="110"/>
  </r>
  <r>
    <n v="1112"/>
    <d v="2024-02-15T00:00:00"/>
    <s v="C008"/>
    <x v="9"/>
    <x v="3"/>
    <x v="0"/>
    <x v="4"/>
    <n v="55000"/>
    <x v="2"/>
    <x v="2"/>
    <x v="20"/>
    <x v="111"/>
  </r>
  <r>
    <n v="1113"/>
    <d v="2024-06-16T00:00:00"/>
    <s v="C012"/>
    <x v="7"/>
    <x v="1"/>
    <x v="1"/>
    <x v="1"/>
    <n v="200"/>
    <x v="1"/>
    <x v="1"/>
    <x v="1"/>
    <x v="112"/>
  </r>
  <r>
    <n v="1114"/>
    <d v="2024-04-07T00:00:00"/>
    <s v="C011"/>
    <x v="4"/>
    <x v="3"/>
    <x v="1"/>
    <x v="1"/>
    <n v="200"/>
    <x v="1"/>
    <x v="1"/>
    <x v="1"/>
    <x v="113"/>
  </r>
  <r>
    <n v="1115"/>
    <d v="2024-01-18T00:00:00"/>
    <s v="C010"/>
    <x v="11"/>
    <x v="2"/>
    <x v="2"/>
    <x v="6"/>
    <n v="7500"/>
    <x v="4"/>
    <x v="1"/>
    <x v="77"/>
    <x v="114"/>
  </r>
  <r>
    <n v="1116"/>
    <d v="2024-05-31T00:00:00"/>
    <s v="C003"/>
    <x v="0"/>
    <x v="2"/>
    <x v="2"/>
    <x v="9"/>
    <n v="12000"/>
    <x v="1"/>
    <x v="1"/>
    <x v="62"/>
    <x v="115"/>
  </r>
  <r>
    <n v="1117"/>
    <d v="2024-05-31T00:00:00"/>
    <s v="C010"/>
    <x v="11"/>
    <x v="2"/>
    <x v="0"/>
    <x v="0"/>
    <n v="3000"/>
    <x v="2"/>
    <x v="2"/>
    <x v="78"/>
    <x v="116"/>
  </r>
  <r>
    <n v="1118"/>
    <d v="2024-06-09T00:00:00"/>
    <s v="C005"/>
    <x v="5"/>
    <x v="1"/>
    <x v="1"/>
    <x v="5"/>
    <n v="350"/>
    <x v="3"/>
    <x v="0"/>
    <x v="79"/>
    <x v="117"/>
  </r>
  <r>
    <n v="1119"/>
    <d v="2024-03-26T00:00:00"/>
    <s v="C012"/>
    <x v="7"/>
    <x v="3"/>
    <x v="2"/>
    <x v="3"/>
    <n v="9500"/>
    <x v="1"/>
    <x v="3"/>
    <x v="11"/>
    <x v="118"/>
  </r>
  <r>
    <n v="1120"/>
    <d v="2024-04-21T00:00:00"/>
    <s v="C012"/>
    <x v="7"/>
    <x v="0"/>
    <x v="2"/>
    <x v="9"/>
    <n v="12000"/>
    <x v="2"/>
    <x v="2"/>
    <x v="80"/>
    <x v="119"/>
  </r>
  <r>
    <n v="1121"/>
    <d v="2024-05-25T00:00:00"/>
    <s v="C012"/>
    <x v="7"/>
    <x v="2"/>
    <x v="1"/>
    <x v="8"/>
    <n v="500"/>
    <x v="0"/>
    <x v="1"/>
    <x v="60"/>
    <x v="120"/>
  </r>
  <r>
    <n v="1122"/>
    <d v="2024-04-08T00:00:00"/>
    <s v="C006"/>
    <x v="6"/>
    <x v="0"/>
    <x v="1"/>
    <x v="1"/>
    <n v="200"/>
    <x v="2"/>
    <x v="0"/>
    <x v="28"/>
    <x v="121"/>
  </r>
  <r>
    <n v="1123"/>
    <d v="2024-06-04T00:00:00"/>
    <s v="C009"/>
    <x v="3"/>
    <x v="3"/>
    <x v="0"/>
    <x v="4"/>
    <n v="55000"/>
    <x v="0"/>
    <x v="1"/>
    <x v="81"/>
    <x v="122"/>
  </r>
  <r>
    <n v="1124"/>
    <d v="2024-03-29T00:00:00"/>
    <s v="C012"/>
    <x v="7"/>
    <x v="2"/>
    <x v="1"/>
    <x v="8"/>
    <n v="500"/>
    <x v="4"/>
    <x v="1"/>
    <x v="82"/>
    <x v="123"/>
  </r>
  <r>
    <n v="1125"/>
    <d v="2024-06-03T00:00:00"/>
    <s v="C003"/>
    <x v="0"/>
    <x v="3"/>
    <x v="2"/>
    <x v="6"/>
    <n v="7500"/>
    <x v="2"/>
    <x v="1"/>
    <x v="70"/>
    <x v="124"/>
  </r>
  <r>
    <n v="1126"/>
    <d v="2024-02-23T00:00:00"/>
    <s v="C002"/>
    <x v="2"/>
    <x v="2"/>
    <x v="2"/>
    <x v="9"/>
    <n v="12000"/>
    <x v="1"/>
    <x v="2"/>
    <x v="83"/>
    <x v="125"/>
  </r>
  <r>
    <n v="1127"/>
    <d v="2024-05-13T00:00:00"/>
    <s v="C008"/>
    <x v="9"/>
    <x v="3"/>
    <x v="0"/>
    <x v="4"/>
    <n v="55000"/>
    <x v="3"/>
    <x v="1"/>
    <x v="84"/>
    <x v="126"/>
  </r>
  <r>
    <n v="1128"/>
    <d v="2024-05-28T00:00:00"/>
    <s v="C012"/>
    <x v="7"/>
    <x v="2"/>
    <x v="2"/>
    <x v="9"/>
    <n v="12000"/>
    <x v="2"/>
    <x v="3"/>
    <x v="56"/>
    <x v="127"/>
  </r>
  <r>
    <n v="1129"/>
    <d v="2024-05-11T00:00:00"/>
    <s v="C009"/>
    <x v="3"/>
    <x v="0"/>
    <x v="1"/>
    <x v="1"/>
    <n v="200"/>
    <x v="4"/>
    <x v="2"/>
    <x v="85"/>
    <x v="128"/>
  </r>
  <r>
    <n v="1130"/>
    <d v="2024-04-18T00:00:00"/>
    <s v="C002"/>
    <x v="2"/>
    <x v="0"/>
    <x v="1"/>
    <x v="8"/>
    <n v="500"/>
    <x v="0"/>
    <x v="0"/>
    <x v="19"/>
    <x v="129"/>
  </r>
  <r>
    <n v="1131"/>
    <d v="2024-05-17T00:00:00"/>
    <s v="C012"/>
    <x v="7"/>
    <x v="2"/>
    <x v="0"/>
    <x v="0"/>
    <n v="3000"/>
    <x v="3"/>
    <x v="1"/>
    <x v="72"/>
    <x v="130"/>
  </r>
  <r>
    <n v="1132"/>
    <d v="2024-01-07T00:00:00"/>
    <s v="C008"/>
    <x v="9"/>
    <x v="0"/>
    <x v="1"/>
    <x v="8"/>
    <n v="500"/>
    <x v="3"/>
    <x v="0"/>
    <x v="86"/>
    <x v="131"/>
  </r>
  <r>
    <n v="1133"/>
    <d v="2024-04-24T00:00:00"/>
    <s v="C005"/>
    <x v="5"/>
    <x v="0"/>
    <x v="0"/>
    <x v="0"/>
    <n v="3000"/>
    <x v="3"/>
    <x v="2"/>
    <x v="87"/>
    <x v="132"/>
  </r>
  <r>
    <n v="1134"/>
    <d v="2024-06-04T00:00:00"/>
    <s v="C004"/>
    <x v="8"/>
    <x v="1"/>
    <x v="2"/>
    <x v="6"/>
    <n v="7500"/>
    <x v="0"/>
    <x v="1"/>
    <x v="50"/>
    <x v="133"/>
  </r>
  <r>
    <n v="1135"/>
    <d v="2024-06-09T00:00:00"/>
    <s v="C005"/>
    <x v="5"/>
    <x v="3"/>
    <x v="2"/>
    <x v="3"/>
    <n v="9500"/>
    <x v="3"/>
    <x v="1"/>
    <x v="66"/>
    <x v="134"/>
  </r>
  <r>
    <n v="1136"/>
    <d v="2024-04-07T00:00:00"/>
    <s v="C001"/>
    <x v="1"/>
    <x v="0"/>
    <x v="1"/>
    <x v="1"/>
    <n v="200"/>
    <x v="2"/>
    <x v="1"/>
    <x v="88"/>
    <x v="135"/>
  </r>
  <r>
    <n v="1137"/>
    <d v="2024-03-25T00:00:00"/>
    <s v="C002"/>
    <x v="2"/>
    <x v="2"/>
    <x v="2"/>
    <x v="9"/>
    <n v="12000"/>
    <x v="1"/>
    <x v="0"/>
    <x v="89"/>
    <x v="136"/>
  </r>
  <r>
    <n v="1138"/>
    <d v="2024-02-16T00:00:00"/>
    <s v="C005"/>
    <x v="5"/>
    <x v="2"/>
    <x v="2"/>
    <x v="6"/>
    <n v="7500"/>
    <x v="4"/>
    <x v="1"/>
    <x v="77"/>
    <x v="137"/>
  </r>
  <r>
    <n v="1139"/>
    <d v="2024-02-24T00:00:00"/>
    <s v="C007"/>
    <x v="10"/>
    <x v="1"/>
    <x v="2"/>
    <x v="3"/>
    <n v="9500"/>
    <x v="3"/>
    <x v="2"/>
    <x v="90"/>
    <x v="138"/>
  </r>
  <r>
    <n v="1140"/>
    <d v="2024-02-07T00:00:00"/>
    <s v="C003"/>
    <x v="0"/>
    <x v="0"/>
    <x v="2"/>
    <x v="9"/>
    <n v="12000"/>
    <x v="2"/>
    <x v="3"/>
    <x v="56"/>
    <x v="139"/>
  </r>
  <r>
    <n v="1141"/>
    <d v="2024-02-29T00:00:00"/>
    <s v="C003"/>
    <x v="0"/>
    <x v="0"/>
    <x v="0"/>
    <x v="4"/>
    <n v="55000"/>
    <x v="4"/>
    <x v="3"/>
    <x v="54"/>
    <x v="140"/>
  </r>
  <r>
    <n v="1142"/>
    <d v="2024-06-10T00:00:00"/>
    <s v="C009"/>
    <x v="3"/>
    <x v="3"/>
    <x v="2"/>
    <x v="3"/>
    <n v="9500"/>
    <x v="2"/>
    <x v="0"/>
    <x v="26"/>
    <x v="141"/>
  </r>
  <r>
    <n v="1143"/>
    <d v="2024-05-21T00:00:00"/>
    <s v="C009"/>
    <x v="3"/>
    <x v="3"/>
    <x v="0"/>
    <x v="4"/>
    <n v="55000"/>
    <x v="0"/>
    <x v="3"/>
    <x v="91"/>
    <x v="142"/>
  </r>
  <r>
    <n v="1144"/>
    <d v="2024-05-15T00:00:00"/>
    <s v="C009"/>
    <x v="3"/>
    <x v="2"/>
    <x v="0"/>
    <x v="7"/>
    <n v="18000"/>
    <x v="1"/>
    <x v="3"/>
    <x v="92"/>
    <x v="143"/>
  </r>
  <r>
    <n v="1145"/>
    <d v="2024-02-29T00:00:00"/>
    <s v="C004"/>
    <x v="8"/>
    <x v="2"/>
    <x v="1"/>
    <x v="5"/>
    <n v="350"/>
    <x v="0"/>
    <x v="0"/>
    <x v="93"/>
    <x v="144"/>
  </r>
  <r>
    <n v="1146"/>
    <d v="2024-06-24T00:00:00"/>
    <s v="C012"/>
    <x v="7"/>
    <x v="1"/>
    <x v="1"/>
    <x v="8"/>
    <n v="500"/>
    <x v="0"/>
    <x v="2"/>
    <x v="94"/>
    <x v="145"/>
  </r>
  <r>
    <n v="1147"/>
    <d v="2024-03-28T00:00:00"/>
    <s v="C003"/>
    <x v="0"/>
    <x v="2"/>
    <x v="2"/>
    <x v="6"/>
    <n v="7500"/>
    <x v="0"/>
    <x v="0"/>
    <x v="95"/>
    <x v="146"/>
  </r>
  <r>
    <n v="1148"/>
    <d v="2024-05-18T00:00:00"/>
    <s v="C005"/>
    <x v="5"/>
    <x v="2"/>
    <x v="1"/>
    <x v="5"/>
    <n v="350"/>
    <x v="0"/>
    <x v="3"/>
    <x v="13"/>
    <x v="147"/>
  </r>
  <r>
    <n v="1149"/>
    <d v="2024-04-27T00:00:00"/>
    <s v="C010"/>
    <x v="11"/>
    <x v="1"/>
    <x v="2"/>
    <x v="9"/>
    <n v="12000"/>
    <x v="2"/>
    <x v="0"/>
    <x v="96"/>
    <x v="148"/>
  </r>
  <r>
    <n v="1150"/>
    <d v="2024-02-24T00:00:00"/>
    <s v="C008"/>
    <x v="9"/>
    <x v="2"/>
    <x v="0"/>
    <x v="4"/>
    <n v="55000"/>
    <x v="4"/>
    <x v="3"/>
    <x v="54"/>
    <x v="149"/>
  </r>
  <r>
    <n v="1151"/>
    <d v="2024-01-10T00:00:00"/>
    <s v="C006"/>
    <x v="6"/>
    <x v="0"/>
    <x v="2"/>
    <x v="6"/>
    <n v="7500"/>
    <x v="2"/>
    <x v="3"/>
    <x v="18"/>
    <x v="150"/>
  </r>
  <r>
    <n v="1152"/>
    <d v="2024-01-11T00:00:00"/>
    <s v="C004"/>
    <x v="8"/>
    <x v="2"/>
    <x v="2"/>
    <x v="9"/>
    <n v="12000"/>
    <x v="1"/>
    <x v="2"/>
    <x v="83"/>
    <x v="151"/>
  </r>
  <r>
    <n v="1153"/>
    <d v="2024-01-27T00:00:00"/>
    <s v="C002"/>
    <x v="2"/>
    <x v="2"/>
    <x v="1"/>
    <x v="1"/>
    <n v="200"/>
    <x v="0"/>
    <x v="3"/>
    <x v="97"/>
    <x v="152"/>
  </r>
  <r>
    <n v="1154"/>
    <d v="2024-04-21T00:00:00"/>
    <s v="C011"/>
    <x v="4"/>
    <x v="3"/>
    <x v="0"/>
    <x v="4"/>
    <n v="55000"/>
    <x v="2"/>
    <x v="1"/>
    <x v="3"/>
    <x v="153"/>
  </r>
  <r>
    <n v="1155"/>
    <d v="2024-01-20T00:00:00"/>
    <s v="C004"/>
    <x v="8"/>
    <x v="0"/>
    <x v="0"/>
    <x v="7"/>
    <n v="18000"/>
    <x v="3"/>
    <x v="3"/>
    <x v="98"/>
    <x v="154"/>
  </r>
  <r>
    <n v="1156"/>
    <d v="2024-02-25T00:00:00"/>
    <s v="C011"/>
    <x v="4"/>
    <x v="1"/>
    <x v="1"/>
    <x v="5"/>
    <n v="350"/>
    <x v="2"/>
    <x v="0"/>
    <x v="25"/>
    <x v="155"/>
  </r>
  <r>
    <n v="1157"/>
    <d v="2024-05-02T00:00:00"/>
    <s v="C009"/>
    <x v="3"/>
    <x v="1"/>
    <x v="1"/>
    <x v="1"/>
    <n v="200"/>
    <x v="3"/>
    <x v="1"/>
    <x v="47"/>
    <x v="156"/>
  </r>
  <r>
    <n v="1158"/>
    <d v="2024-03-12T00:00:00"/>
    <s v="C007"/>
    <x v="10"/>
    <x v="1"/>
    <x v="1"/>
    <x v="8"/>
    <n v="500"/>
    <x v="4"/>
    <x v="1"/>
    <x v="82"/>
    <x v="157"/>
  </r>
  <r>
    <n v="1159"/>
    <d v="2024-04-04T00:00:00"/>
    <s v="C012"/>
    <x v="7"/>
    <x v="1"/>
    <x v="2"/>
    <x v="9"/>
    <n v="12000"/>
    <x v="4"/>
    <x v="0"/>
    <x v="99"/>
    <x v="158"/>
  </r>
  <r>
    <n v="1160"/>
    <d v="2024-03-19T00:00:00"/>
    <s v="C012"/>
    <x v="7"/>
    <x v="0"/>
    <x v="0"/>
    <x v="7"/>
    <n v="18000"/>
    <x v="0"/>
    <x v="1"/>
    <x v="100"/>
    <x v="159"/>
  </r>
  <r>
    <n v="1161"/>
    <d v="2024-03-15T00:00:00"/>
    <s v="C010"/>
    <x v="11"/>
    <x v="3"/>
    <x v="1"/>
    <x v="5"/>
    <n v="350"/>
    <x v="1"/>
    <x v="2"/>
    <x v="9"/>
    <x v="160"/>
  </r>
  <r>
    <n v="1162"/>
    <d v="2024-04-28T00:00:00"/>
    <s v="C010"/>
    <x v="11"/>
    <x v="1"/>
    <x v="1"/>
    <x v="8"/>
    <n v="500"/>
    <x v="0"/>
    <x v="0"/>
    <x v="19"/>
    <x v="161"/>
  </r>
  <r>
    <n v="1163"/>
    <d v="2024-06-01T00:00:00"/>
    <s v="C006"/>
    <x v="6"/>
    <x v="2"/>
    <x v="0"/>
    <x v="7"/>
    <n v="18000"/>
    <x v="0"/>
    <x v="3"/>
    <x v="16"/>
    <x v="162"/>
  </r>
  <r>
    <n v="1164"/>
    <d v="2024-03-25T00:00:00"/>
    <s v="C010"/>
    <x v="11"/>
    <x v="3"/>
    <x v="2"/>
    <x v="6"/>
    <n v="7500"/>
    <x v="4"/>
    <x v="3"/>
    <x v="29"/>
    <x v="163"/>
  </r>
  <r>
    <n v="1165"/>
    <d v="2024-03-03T00:00:00"/>
    <s v="C006"/>
    <x v="6"/>
    <x v="2"/>
    <x v="0"/>
    <x v="2"/>
    <n v="22000"/>
    <x v="3"/>
    <x v="2"/>
    <x v="32"/>
    <x v="164"/>
  </r>
  <r>
    <n v="1166"/>
    <d v="2024-02-11T00:00:00"/>
    <s v="C010"/>
    <x v="11"/>
    <x v="1"/>
    <x v="1"/>
    <x v="5"/>
    <n v="350"/>
    <x v="1"/>
    <x v="3"/>
    <x v="33"/>
    <x v="165"/>
  </r>
  <r>
    <n v="1167"/>
    <d v="2024-05-05T00:00:00"/>
    <s v="C003"/>
    <x v="0"/>
    <x v="2"/>
    <x v="2"/>
    <x v="6"/>
    <n v="7500"/>
    <x v="3"/>
    <x v="0"/>
    <x v="71"/>
    <x v="166"/>
  </r>
  <r>
    <n v="1168"/>
    <d v="2024-03-18T00:00:00"/>
    <s v="C008"/>
    <x v="9"/>
    <x v="3"/>
    <x v="0"/>
    <x v="7"/>
    <n v="18000"/>
    <x v="2"/>
    <x v="3"/>
    <x v="58"/>
    <x v="167"/>
  </r>
  <r>
    <n v="1169"/>
    <d v="2024-06-21T00:00:00"/>
    <s v="C005"/>
    <x v="5"/>
    <x v="3"/>
    <x v="2"/>
    <x v="3"/>
    <n v="9500"/>
    <x v="3"/>
    <x v="3"/>
    <x v="61"/>
    <x v="168"/>
  </r>
  <r>
    <n v="1170"/>
    <d v="2024-02-27T00:00:00"/>
    <s v="C001"/>
    <x v="1"/>
    <x v="1"/>
    <x v="0"/>
    <x v="0"/>
    <n v="3000"/>
    <x v="4"/>
    <x v="2"/>
    <x v="44"/>
    <x v="169"/>
  </r>
  <r>
    <n v="1171"/>
    <d v="2024-05-29T00:00:00"/>
    <s v="C012"/>
    <x v="7"/>
    <x v="2"/>
    <x v="0"/>
    <x v="2"/>
    <n v="22000"/>
    <x v="4"/>
    <x v="3"/>
    <x v="101"/>
    <x v="170"/>
  </r>
  <r>
    <n v="1172"/>
    <d v="2024-04-20T00:00:00"/>
    <s v="C008"/>
    <x v="9"/>
    <x v="2"/>
    <x v="2"/>
    <x v="9"/>
    <n v="12000"/>
    <x v="0"/>
    <x v="1"/>
    <x v="42"/>
    <x v="171"/>
  </r>
  <r>
    <n v="1173"/>
    <d v="2024-02-22T00:00:00"/>
    <s v="C006"/>
    <x v="6"/>
    <x v="0"/>
    <x v="0"/>
    <x v="2"/>
    <n v="22000"/>
    <x v="0"/>
    <x v="0"/>
    <x v="102"/>
    <x v="172"/>
  </r>
  <r>
    <n v="1174"/>
    <d v="2024-01-28T00:00:00"/>
    <s v="C012"/>
    <x v="7"/>
    <x v="0"/>
    <x v="2"/>
    <x v="6"/>
    <n v="7500"/>
    <x v="4"/>
    <x v="3"/>
    <x v="29"/>
    <x v="173"/>
  </r>
  <r>
    <n v="1175"/>
    <d v="2024-03-16T00:00:00"/>
    <s v="C011"/>
    <x v="4"/>
    <x v="3"/>
    <x v="0"/>
    <x v="7"/>
    <n v="18000"/>
    <x v="2"/>
    <x v="2"/>
    <x v="39"/>
    <x v="174"/>
  </r>
  <r>
    <n v="1176"/>
    <d v="2024-01-19T00:00:00"/>
    <s v="C002"/>
    <x v="2"/>
    <x v="0"/>
    <x v="2"/>
    <x v="3"/>
    <n v="9500"/>
    <x v="3"/>
    <x v="1"/>
    <x v="66"/>
    <x v="175"/>
  </r>
  <r>
    <n v="1177"/>
    <d v="2024-04-21T00:00:00"/>
    <s v="C005"/>
    <x v="5"/>
    <x v="3"/>
    <x v="2"/>
    <x v="9"/>
    <n v="12000"/>
    <x v="3"/>
    <x v="3"/>
    <x v="58"/>
    <x v="176"/>
  </r>
  <r>
    <n v="1178"/>
    <d v="2024-01-31T00:00:00"/>
    <s v="C006"/>
    <x v="6"/>
    <x v="2"/>
    <x v="1"/>
    <x v="5"/>
    <n v="350"/>
    <x v="1"/>
    <x v="0"/>
    <x v="103"/>
    <x v="177"/>
  </r>
  <r>
    <n v="1179"/>
    <d v="2024-05-23T00:00:00"/>
    <s v="C009"/>
    <x v="3"/>
    <x v="0"/>
    <x v="1"/>
    <x v="5"/>
    <n v="350"/>
    <x v="0"/>
    <x v="0"/>
    <x v="93"/>
    <x v="178"/>
  </r>
  <r>
    <n v="1180"/>
    <d v="2024-03-17T00:00:00"/>
    <s v="C007"/>
    <x v="10"/>
    <x v="0"/>
    <x v="1"/>
    <x v="1"/>
    <n v="200"/>
    <x v="4"/>
    <x v="3"/>
    <x v="104"/>
    <x v="179"/>
  </r>
  <r>
    <n v="1181"/>
    <d v="2024-04-12T00:00:00"/>
    <s v="C010"/>
    <x v="11"/>
    <x v="3"/>
    <x v="0"/>
    <x v="7"/>
    <n v="18000"/>
    <x v="4"/>
    <x v="3"/>
    <x v="105"/>
    <x v="180"/>
  </r>
  <r>
    <n v="1182"/>
    <d v="2024-01-08T00:00:00"/>
    <s v="C008"/>
    <x v="9"/>
    <x v="3"/>
    <x v="2"/>
    <x v="9"/>
    <n v="12000"/>
    <x v="0"/>
    <x v="2"/>
    <x v="44"/>
    <x v="181"/>
  </r>
  <r>
    <n v="1183"/>
    <d v="2024-03-03T00:00:00"/>
    <s v="C008"/>
    <x v="9"/>
    <x v="2"/>
    <x v="1"/>
    <x v="1"/>
    <n v="200"/>
    <x v="1"/>
    <x v="3"/>
    <x v="64"/>
    <x v="182"/>
  </r>
  <r>
    <n v="1184"/>
    <d v="2024-04-03T00:00:00"/>
    <s v="C006"/>
    <x v="6"/>
    <x v="1"/>
    <x v="1"/>
    <x v="5"/>
    <n v="350"/>
    <x v="4"/>
    <x v="1"/>
    <x v="106"/>
    <x v="183"/>
  </r>
  <r>
    <n v="1185"/>
    <d v="2024-05-27T00:00:00"/>
    <s v="C001"/>
    <x v="1"/>
    <x v="3"/>
    <x v="1"/>
    <x v="1"/>
    <n v="200"/>
    <x v="4"/>
    <x v="3"/>
    <x v="104"/>
    <x v="184"/>
  </r>
  <r>
    <n v="1186"/>
    <d v="2024-03-15T00:00:00"/>
    <s v="C004"/>
    <x v="8"/>
    <x v="1"/>
    <x v="1"/>
    <x v="5"/>
    <n v="350"/>
    <x v="4"/>
    <x v="1"/>
    <x v="106"/>
    <x v="185"/>
  </r>
  <r>
    <n v="1187"/>
    <d v="2024-04-27T00:00:00"/>
    <s v="C003"/>
    <x v="0"/>
    <x v="0"/>
    <x v="0"/>
    <x v="7"/>
    <n v="18000"/>
    <x v="4"/>
    <x v="0"/>
    <x v="107"/>
    <x v="186"/>
  </r>
  <r>
    <n v="1188"/>
    <d v="2024-01-16T00:00:00"/>
    <s v="C011"/>
    <x v="4"/>
    <x v="2"/>
    <x v="1"/>
    <x v="1"/>
    <n v="200"/>
    <x v="2"/>
    <x v="0"/>
    <x v="28"/>
    <x v="187"/>
  </r>
  <r>
    <n v="1189"/>
    <d v="2024-03-12T00:00:00"/>
    <s v="C010"/>
    <x v="11"/>
    <x v="0"/>
    <x v="1"/>
    <x v="8"/>
    <n v="500"/>
    <x v="3"/>
    <x v="3"/>
    <x v="108"/>
    <x v="188"/>
  </r>
  <r>
    <n v="1190"/>
    <d v="2024-05-03T00:00:00"/>
    <s v="C012"/>
    <x v="7"/>
    <x v="2"/>
    <x v="2"/>
    <x v="6"/>
    <n v="7500"/>
    <x v="0"/>
    <x v="3"/>
    <x v="36"/>
    <x v="189"/>
  </r>
  <r>
    <n v="1191"/>
    <d v="2024-03-11T00:00:00"/>
    <s v="C009"/>
    <x v="3"/>
    <x v="2"/>
    <x v="0"/>
    <x v="7"/>
    <n v="18000"/>
    <x v="0"/>
    <x v="1"/>
    <x v="100"/>
    <x v="190"/>
  </r>
  <r>
    <n v="1192"/>
    <d v="2024-01-15T00:00:00"/>
    <s v="C005"/>
    <x v="5"/>
    <x v="2"/>
    <x v="0"/>
    <x v="0"/>
    <n v="3000"/>
    <x v="2"/>
    <x v="2"/>
    <x v="78"/>
    <x v="191"/>
  </r>
  <r>
    <n v="1193"/>
    <d v="2024-01-26T00:00:00"/>
    <s v="C012"/>
    <x v="7"/>
    <x v="2"/>
    <x v="0"/>
    <x v="2"/>
    <n v="22000"/>
    <x v="2"/>
    <x v="1"/>
    <x v="109"/>
    <x v="192"/>
  </r>
  <r>
    <n v="1194"/>
    <d v="2024-04-27T00:00:00"/>
    <s v="C007"/>
    <x v="10"/>
    <x v="1"/>
    <x v="0"/>
    <x v="0"/>
    <n v="3000"/>
    <x v="3"/>
    <x v="2"/>
    <x v="87"/>
    <x v="193"/>
  </r>
  <r>
    <n v="1195"/>
    <d v="2024-01-04T00:00:00"/>
    <s v="C006"/>
    <x v="6"/>
    <x v="3"/>
    <x v="1"/>
    <x v="8"/>
    <n v="500"/>
    <x v="1"/>
    <x v="2"/>
    <x v="37"/>
    <x v="194"/>
  </r>
  <r>
    <n v="1196"/>
    <d v="2024-04-06T00:00:00"/>
    <s v="C006"/>
    <x v="6"/>
    <x v="3"/>
    <x v="2"/>
    <x v="6"/>
    <n v="7500"/>
    <x v="2"/>
    <x v="1"/>
    <x v="70"/>
    <x v="195"/>
  </r>
  <r>
    <n v="1197"/>
    <d v="2024-04-26T00:00:00"/>
    <s v="C001"/>
    <x v="1"/>
    <x v="0"/>
    <x v="2"/>
    <x v="6"/>
    <n v="7500"/>
    <x v="2"/>
    <x v="0"/>
    <x v="45"/>
    <x v="196"/>
  </r>
  <r>
    <n v="1198"/>
    <d v="2024-04-24T00:00:00"/>
    <s v="C009"/>
    <x v="3"/>
    <x v="1"/>
    <x v="1"/>
    <x v="8"/>
    <n v="500"/>
    <x v="1"/>
    <x v="1"/>
    <x v="110"/>
    <x v="197"/>
  </r>
  <r>
    <n v="1199"/>
    <d v="2024-02-02T00:00:00"/>
    <s v="C006"/>
    <x v="6"/>
    <x v="1"/>
    <x v="0"/>
    <x v="0"/>
    <n v="3000"/>
    <x v="1"/>
    <x v="2"/>
    <x v="69"/>
    <x v="198"/>
  </r>
  <r>
    <n v="1200"/>
    <d v="2024-06-15T00:00:00"/>
    <s v="C006"/>
    <x v="6"/>
    <x v="3"/>
    <x v="1"/>
    <x v="5"/>
    <n v="350"/>
    <x v="3"/>
    <x v="1"/>
    <x v="23"/>
    <x v="199"/>
  </r>
  <r>
    <n v="1201"/>
    <d v="2024-06-04T00:00:00"/>
    <s v="C006"/>
    <x v="6"/>
    <x v="0"/>
    <x v="0"/>
    <x v="0"/>
    <n v="3000"/>
    <x v="2"/>
    <x v="0"/>
    <x v="111"/>
    <x v="200"/>
  </r>
  <r>
    <n v="1202"/>
    <d v="2024-01-03T00:00:00"/>
    <s v="C001"/>
    <x v="1"/>
    <x v="3"/>
    <x v="2"/>
    <x v="3"/>
    <n v="9500"/>
    <x v="3"/>
    <x v="1"/>
    <x v="66"/>
    <x v="201"/>
  </r>
  <r>
    <n v="1203"/>
    <d v="2024-04-24T00:00:00"/>
    <s v="C006"/>
    <x v="6"/>
    <x v="1"/>
    <x v="2"/>
    <x v="3"/>
    <n v="9500"/>
    <x v="0"/>
    <x v="2"/>
    <x v="112"/>
    <x v="202"/>
  </r>
  <r>
    <n v="1204"/>
    <d v="2024-05-01T00:00:00"/>
    <s v="C008"/>
    <x v="9"/>
    <x v="2"/>
    <x v="1"/>
    <x v="1"/>
    <n v="200"/>
    <x v="4"/>
    <x v="2"/>
    <x v="85"/>
    <x v="203"/>
  </r>
  <r>
    <n v="1205"/>
    <d v="2024-05-12T00:00:00"/>
    <s v="C002"/>
    <x v="2"/>
    <x v="1"/>
    <x v="0"/>
    <x v="2"/>
    <n v="22000"/>
    <x v="2"/>
    <x v="0"/>
    <x v="113"/>
    <x v="204"/>
  </r>
  <r>
    <n v="1206"/>
    <d v="2024-04-08T00:00:00"/>
    <s v="C001"/>
    <x v="1"/>
    <x v="0"/>
    <x v="1"/>
    <x v="1"/>
    <n v="200"/>
    <x v="1"/>
    <x v="3"/>
    <x v="64"/>
    <x v="205"/>
  </r>
  <r>
    <n v="1207"/>
    <d v="2024-02-10T00:00:00"/>
    <s v="C010"/>
    <x v="11"/>
    <x v="3"/>
    <x v="0"/>
    <x v="0"/>
    <n v="3000"/>
    <x v="0"/>
    <x v="2"/>
    <x v="114"/>
    <x v="206"/>
  </r>
  <r>
    <n v="1208"/>
    <d v="2024-01-16T00:00:00"/>
    <s v="C008"/>
    <x v="9"/>
    <x v="0"/>
    <x v="1"/>
    <x v="8"/>
    <n v="500"/>
    <x v="3"/>
    <x v="0"/>
    <x v="86"/>
    <x v="207"/>
  </r>
  <r>
    <n v="1209"/>
    <d v="2024-03-31T00:00:00"/>
    <s v="C008"/>
    <x v="9"/>
    <x v="3"/>
    <x v="2"/>
    <x v="6"/>
    <n v="7500"/>
    <x v="4"/>
    <x v="0"/>
    <x v="115"/>
    <x v="208"/>
  </r>
  <r>
    <n v="1210"/>
    <d v="2024-03-26T00:00:00"/>
    <s v="C002"/>
    <x v="2"/>
    <x v="2"/>
    <x v="2"/>
    <x v="9"/>
    <n v="12000"/>
    <x v="4"/>
    <x v="2"/>
    <x v="73"/>
    <x v="209"/>
  </r>
  <r>
    <n v="1211"/>
    <d v="2024-05-25T00:00:00"/>
    <s v="C005"/>
    <x v="5"/>
    <x v="3"/>
    <x v="0"/>
    <x v="7"/>
    <n v="18000"/>
    <x v="3"/>
    <x v="3"/>
    <x v="98"/>
    <x v="210"/>
  </r>
  <r>
    <n v="1212"/>
    <d v="2024-04-25T00:00:00"/>
    <s v="C001"/>
    <x v="1"/>
    <x v="3"/>
    <x v="2"/>
    <x v="9"/>
    <n v="12000"/>
    <x v="1"/>
    <x v="1"/>
    <x v="62"/>
    <x v="211"/>
  </r>
  <r>
    <n v="1213"/>
    <d v="2024-04-18T00:00:00"/>
    <s v="C011"/>
    <x v="4"/>
    <x v="0"/>
    <x v="1"/>
    <x v="1"/>
    <n v="200"/>
    <x v="2"/>
    <x v="1"/>
    <x v="88"/>
    <x v="212"/>
  </r>
  <r>
    <n v="1214"/>
    <d v="2024-06-08T00:00:00"/>
    <s v="C003"/>
    <x v="0"/>
    <x v="1"/>
    <x v="1"/>
    <x v="5"/>
    <n v="350"/>
    <x v="3"/>
    <x v="1"/>
    <x v="23"/>
    <x v="213"/>
  </r>
  <r>
    <n v="1215"/>
    <d v="2024-04-03T00:00:00"/>
    <s v="C004"/>
    <x v="8"/>
    <x v="1"/>
    <x v="2"/>
    <x v="6"/>
    <n v="7500"/>
    <x v="0"/>
    <x v="1"/>
    <x v="50"/>
    <x v="214"/>
  </r>
  <r>
    <n v="1216"/>
    <d v="2024-03-25T00:00:00"/>
    <s v="C009"/>
    <x v="3"/>
    <x v="2"/>
    <x v="1"/>
    <x v="5"/>
    <n v="350"/>
    <x v="2"/>
    <x v="3"/>
    <x v="116"/>
    <x v="215"/>
  </r>
  <r>
    <n v="1217"/>
    <d v="2024-04-07T00:00:00"/>
    <s v="C003"/>
    <x v="0"/>
    <x v="0"/>
    <x v="2"/>
    <x v="9"/>
    <n v="12000"/>
    <x v="1"/>
    <x v="0"/>
    <x v="89"/>
    <x v="216"/>
  </r>
  <r>
    <n v="1218"/>
    <d v="2024-04-30T00:00:00"/>
    <s v="C006"/>
    <x v="6"/>
    <x v="3"/>
    <x v="0"/>
    <x v="2"/>
    <n v="22000"/>
    <x v="1"/>
    <x v="0"/>
    <x v="117"/>
    <x v="217"/>
  </r>
  <r>
    <n v="1219"/>
    <d v="2024-01-13T00:00:00"/>
    <s v="C004"/>
    <x v="8"/>
    <x v="0"/>
    <x v="2"/>
    <x v="9"/>
    <n v="12000"/>
    <x v="2"/>
    <x v="3"/>
    <x v="56"/>
    <x v="218"/>
  </r>
  <r>
    <n v="1220"/>
    <d v="2024-02-29T00:00:00"/>
    <s v="C010"/>
    <x v="11"/>
    <x v="1"/>
    <x v="2"/>
    <x v="9"/>
    <n v="12000"/>
    <x v="2"/>
    <x v="1"/>
    <x v="118"/>
    <x v="219"/>
  </r>
  <r>
    <n v="1221"/>
    <d v="2024-03-04T00:00:00"/>
    <s v="C011"/>
    <x v="4"/>
    <x v="0"/>
    <x v="2"/>
    <x v="9"/>
    <n v="12000"/>
    <x v="0"/>
    <x v="3"/>
    <x v="74"/>
    <x v="220"/>
  </r>
  <r>
    <n v="1222"/>
    <d v="2024-04-06T00:00:00"/>
    <s v="C002"/>
    <x v="2"/>
    <x v="1"/>
    <x v="0"/>
    <x v="0"/>
    <n v="3000"/>
    <x v="3"/>
    <x v="1"/>
    <x v="72"/>
    <x v="221"/>
  </r>
  <r>
    <n v="1223"/>
    <d v="2024-03-09T00:00:00"/>
    <s v="C001"/>
    <x v="1"/>
    <x v="0"/>
    <x v="0"/>
    <x v="0"/>
    <n v="3000"/>
    <x v="1"/>
    <x v="0"/>
    <x v="45"/>
    <x v="222"/>
  </r>
  <r>
    <n v="1224"/>
    <d v="2024-03-18T00:00:00"/>
    <s v="C007"/>
    <x v="10"/>
    <x v="2"/>
    <x v="1"/>
    <x v="5"/>
    <n v="350"/>
    <x v="0"/>
    <x v="1"/>
    <x v="10"/>
    <x v="223"/>
  </r>
  <r>
    <n v="1225"/>
    <d v="2024-05-08T00:00:00"/>
    <s v="C003"/>
    <x v="0"/>
    <x v="3"/>
    <x v="2"/>
    <x v="3"/>
    <n v="9500"/>
    <x v="0"/>
    <x v="3"/>
    <x v="68"/>
    <x v="224"/>
  </r>
  <r>
    <n v="1226"/>
    <d v="2024-04-12T00:00:00"/>
    <s v="C002"/>
    <x v="2"/>
    <x v="2"/>
    <x v="2"/>
    <x v="9"/>
    <n v="12000"/>
    <x v="3"/>
    <x v="0"/>
    <x v="30"/>
    <x v="225"/>
  </r>
  <r>
    <n v="1227"/>
    <d v="2024-04-21T00:00:00"/>
    <s v="C004"/>
    <x v="8"/>
    <x v="0"/>
    <x v="0"/>
    <x v="2"/>
    <n v="22000"/>
    <x v="3"/>
    <x v="2"/>
    <x v="32"/>
    <x v="226"/>
  </r>
  <r>
    <n v="1228"/>
    <d v="2024-05-09T00:00:00"/>
    <s v="C008"/>
    <x v="9"/>
    <x v="3"/>
    <x v="1"/>
    <x v="8"/>
    <n v="500"/>
    <x v="3"/>
    <x v="3"/>
    <x v="108"/>
    <x v="227"/>
  </r>
  <r>
    <n v="1229"/>
    <d v="2024-01-20T00:00:00"/>
    <s v="C006"/>
    <x v="6"/>
    <x v="3"/>
    <x v="0"/>
    <x v="7"/>
    <n v="18000"/>
    <x v="2"/>
    <x v="0"/>
    <x v="30"/>
    <x v="228"/>
  </r>
  <r>
    <n v="1230"/>
    <d v="2024-01-27T00:00:00"/>
    <s v="C010"/>
    <x v="11"/>
    <x v="2"/>
    <x v="2"/>
    <x v="9"/>
    <n v="12000"/>
    <x v="0"/>
    <x v="1"/>
    <x v="42"/>
    <x v="229"/>
  </r>
  <r>
    <n v="1231"/>
    <d v="2024-06-13T00:00:00"/>
    <s v="C001"/>
    <x v="1"/>
    <x v="0"/>
    <x v="2"/>
    <x v="9"/>
    <n v="12000"/>
    <x v="0"/>
    <x v="0"/>
    <x v="119"/>
    <x v="230"/>
  </r>
  <r>
    <n v="1232"/>
    <d v="2024-02-01T00:00:00"/>
    <s v="C008"/>
    <x v="9"/>
    <x v="2"/>
    <x v="0"/>
    <x v="7"/>
    <n v="18000"/>
    <x v="1"/>
    <x v="2"/>
    <x v="120"/>
    <x v="231"/>
  </r>
  <r>
    <n v="1233"/>
    <d v="2024-02-25T00:00:00"/>
    <s v="C003"/>
    <x v="0"/>
    <x v="2"/>
    <x v="1"/>
    <x v="8"/>
    <n v="500"/>
    <x v="2"/>
    <x v="1"/>
    <x v="1"/>
    <x v="232"/>
  </r>
  <r>
    <n v="1234"/>
    <d v="2024-01-25T00:00:00"/>
    <s v="C002"/>
    <x v="2"/>
    <x v="1"/>
    <x v="0"/>
    <x v="7"/>
    <n v="18000"/>
    <x v="1"/>
    <x v="2"/>
    <x v="120"/>
    <x v="233"/>
  </r>
  <r>
    <n v="1235"/>
    <d v="2024-05-14T00:00:00"/>
    <s v="C005"/>
    <x v="5"/>
    <x v="2"/>
    <x v="1"/>
    <x v="5"/>
    <n v="350"/>
    <x v="1"/>
    <x v="2"/>
    <x v="9"/>
    <x v="234"/>
  </r>
  <r>
    <n v="1236"/>
    <d v="2024-02-12T00:00:00"/>
    <s v="C010"/>
    <x v="11"/>
    <x v="1"/>
    <x v="0"/>
    <x v="4"/>
    <n v="55000"/>
    <x v="0"/>
    <x v="0"/>
    <x v="121"/>
    <x v="235"/>
  </r>
  <r>
    <n v="1237"/>
    <d v="2024-05-29T00:00:00"/>
    <s v="C004"/>
    <x v="8"/>
    <x v="1"/>
    <x v="2"/>
    <x v="3"/>
    <n v="9500"/>
    <x v="1"/>
    <x v="3"/>
    <x v="11"/>
    <x v="236"/>
  </r>
  <r>
    <n v="1238"/>
    <d v="2024-05-22T00:00:00"/>
    <s v="C006"/>
    <x v="6"/>
    <x v="0"/>
    <x v="0"/>
    <x v="2"/>
    <n v="22000"/>
    <x v="3"/>
    <x v="1"/>
    <x v="40"/>
    <x v="237"/>
  </r>
  <r>
    <n v="1239"/>
    <d v="2024-03-04T00:00:00"/>
    <s v="C009"/>
    <x v="3"/>
    <x v="1"/>
    <x v="0"/>
    <x v="2"/>
    <n v="22000"/>
    <x v="0"/>
    <x v="2"/>
    <x v="122"/>
    <x v="238"/>
  </r>
  <r>
    <n v="1240"/>
    <d v="2024-02-01T00:00:00"/>
    <s v="C009"/>
    <x v="3"/>
    <x v="1"/>
    <x v="0"/>
    <x v="0"/>
    <n v="3000"/>
    <x v="1"/>
    <x v="2"/>
    <x v="69"/>
    <x v="239"/>
  </r>
  <r>
    <n v="1241"/>
    <d v="2024-04-08T00:00:00"/>
    <s v="C006"/>
    <x v="6"/>
    <x v="1"/>
    <x v="0"/>
    <x v="2"/>
    <n v="22000"/>
    <x v="3"/>
    <x v="1"/>
    <x v="40"/>
    <x v="240"/>
  </r>
  <r>
    <n v="1242"/>
    <d v="2024-06-24T00:00:00"/>
    <s v="C004"/>
    <x v="8"/>
    <x v="0"/>
    <x v="0"/>
    <x v="0"/>
    <n v="3000"/>
    <x v="0"/>
    <x v="2"/>
    <x v="114"/>
    <x v="241"/>
  </r>
  <r>
    <n v="1243"/>
    <d v="2024-05-30T00:00:00"/>
    <s v="C010"/>
    <x v="11"/>
    <x v="0"/>
    <x v="0"/>
    <x v="0"/>
    <n v="3000"/>
    <x v="4"/>
    <x v="2"/>
    <x v="44"/>
    <x v="242"/>
  </r>
  <r>
    <n v="1244"/>
    <d v="2024-02-19T00:00:00"/>
    <s v="C012"/>
    <x v="7"/>
    <x v="2"/>
    <x v="2"/>
    <x v="9"/>
    <n v="12000"/>
    <x v="3"/>
    <x v="3"/>
    <x v="58"/>
    <x v="243"/>
  </r>
  <r>
    <n v="1245"/>
    <d v="2024-05-31T00:00:00"/>
    <s v="C009"/>
    <x v="3"/>
    <x v="1"/>
    <x v="1"/>
    <x v="5"/>
    <n v="350"/>
    <x v="1"/>
    <x v="3"/>
    <x v="33"/>
    <x v="244"/>
  </r>
  <r>
    <n v="1246"/>
    <d v="2024-02-13T00:00:00"/>
    <s v="C007"/>
    <x v="10"/>
    <x v="1"/>
    <x v="0"/>
    <x v="7"/>
    <n v="18000"/>
    <x v="2"/>
    <x v="3"/>
    <x v="58"/>
    <x v="245"/>
  </r>
  <r>
    <n v="1247"/>
    <d v="2024-05-03T00:00:00"/>
    <s v="C010"/>
    <x v="11"/>
    <x v="3"/>
    <x v="0"/>
    <x v="7"/>
    <n v="18000"/>
    <x v="4"/>
    <x v="2"/>
    <x v="46"/>
    <x v="246"/>
  </r>
  <r>
    <n v="1248"/>
    <d v="2024-03-22T00:00:00"/>
    <s v="C011"/>
    <x v="4"/>
    <x v="3"/>
    <x v="0"/>
    <x v="4"/>
    <n v="55000"/>
    <x v="0"/>
    <x v="2"/>
    <x v="123"/>
    <x v="247"/>
  </r>
  <r>
    <n v="1249"/>
    <d v="2024-02-27T00:00:00"/>
    <s v="C002"/>
    <x v="2"/>
    <x v="1"/>
    <x v="0"/>
    <x v="4"/>
    <n v="55000"/>
    <x v="4"/>
    <x v="2"/>
    <x v="124"/>
    <x v="248"/>
  </r>
  <r>
    <n v="1250"/>
    <d v="2024-01-20T00:00:00"/>
    <s v="C011"/>
    <x v="4"/>
    <x v="0"/>
    <x v="0"/>
    <x v="2"/>
    <n v="22000"/>
    <x v="4"/>
    <x v="1"/>
    <x v="125"/>
    <x v="249"/>
  </r>
  <r>
    <n v="1251"/>
    <d v="2024-04-14T00:00:00"/>
    <s v="C003"/>
    <x v="0"/>
    <x v="0"/>
    <x v="1"/>
    <x v="8"/>
    <n v="500"/>
    <x v="3"/>
    <x v="1"/>
    <x v="76"/>
    <x v="250"/>
  </r>
  <r>
    <n v="1252"/>
    <d v="2024-04-06T00:00:00"/>
    <s v="C002"/>
    <x v="2"/>
    <x v="2"/>
    <x v="1"/>
    <x v="1"/>
    <n v="200"/>
    <x v="1"/>
    <x v="0"/>
    <x v="2"/>
    <x v="251"/>
  </r>
  <r>
    <n v="1253"/>
    <d v="2024-01-11T00:00:00"/>
    <s v="C008"/>
    <x v="9"/>
    <x v="1"/>
    <x v="2"/>
    <x v="9"/>
    <n v="12000"/>
    <x v="1"/>
    <x v="2"/>
    <x v="83"/>
    <x v="252"/>
  </r>
  <r>
    <n v="1254"/>
    <d v="2024-03-11T00:00:00"/>
    <s v="C011"/>
    <x v="4"/>
    <x v="2"/>
    <x v="2"/>
    <x v="6"/>
    <n v="7500"/>
    <x v="3"/>
    <x v="2"/>
    <x v="14"/>
    <x v="253"/>
  </r>
  <r>
    <n v="1255"/>
    <d v="2024-06-25T00:00:00"/>
    <s v="C002"/>
    <x v="2"/>
    <x v="3"/>
    <x v="0"/>
    <x v="2"/>
    <n v="22000"/>
    <x v="2"/>
    <x v="3"/>
    <x v="7"/>
    <x v="254"/>
  </r>
  <r>
    <n v="1256"/>
    <d v="2024-01-27T00:00:00"/>
    <s v="C005"/>
    <x v="5"/>
    <x v="3"/>
    <x v="0"/>
    <x v="2"/>
    <n v="22000"/>
    <x v="0"/>
    <x v="3"/>
    <x v="126"/>
    <x v="255"/>
  </r>
  <r>
    <n v="1257"/>
    <d v="2024-06-27T00:00:00"/>
    <s v="C002"/>
    <x v="2"/>
    <x v="3"/>
    <x v="1"/>
    <x v="8"/>
    <n v="500"/>
    <x v="3"/>
    <x v="0"/>
    <x v="86"/>
    <x v="256"/>
  </r>
  <r>
    <n v="1258"/>
    <d v="2024-01-24T00:00:00"/>
    <s v="C009"/>
    <x v="3"/>
    <x v="3"/>
    <x v="2"/>
    <x v="3"/>
    <n v="9500"/>
    <x v="4"/>
    <x v="2"/>
    <x v="127"/>
    <x v="257"/>
  </r>
  <r>
    <n v="1259"/>
    <d v="2024-01-02T00:00:00"/>
    <s v="C012"/>
    <x v="7"/>
    <x v="3"/>
    <x v="2"/>
    <x v="3"/>
    <n v="9500"/>
    <x v="2"/>
    <x v="2"/>
    <x v="6"/>
    <x v="258"/>
  </r>
  <r>
    <n v="1260"/>
    <d v="2024-03-10T00:00:00"/>
    <s v="C007"/>
    <x v="10"/>
    <x v="0"/>
    <x v="2"/>
    <x v="3"/>
    <n v="9500"/>
    <x v="4"/>
    <x v="1"/>
    <x v="128"/>
    <x v="259"/>
  </r>
  <r>
    <n v="1261"/>
    <d v="2024-01-02T00:00:00"/>
    <s v="C011"/>
    <x v="4"/>
    <x v="3"/>
    <x v="1"/>
    <x v="8"/>
    <n v="500"/>
    <x v="3"/>
    <x v="0"/>
    <x v="86"/>
    <x v="260"/>
  </r>
  <r>
    <n v="1262"/>
    <d v="2024-03-29T00:00:00"/>
    <s v="C004"/>
    <x v="8"/>
    <x v="2"/>
    <x v="0"/>
    <x v="4"/>
    <n v="55000"/>
    <x v="0"/>
    <x v="2"/>
    <x v="123"/>
    <x v="261"/>
  </r>
  <r>
    <n v="1263"/>
    <d v="2024-03-03T00:00:00"/>
    <s v="C001"/>
    <x v="1"/>
    <x v="2"/>
    <x v="0"/>
    <x v="7"/>
    <n v="18000"/>
    <x v="3"/>
    <x v="1"/>
    <x v="89"/>
    <x v="262"/>
  </r>
  <r>
    <n v="1264"/>
    <d v="2024-06-17T00:00:00"/>
    <s v="C011"/>
    <x v="4"/>
    <x v="3"/>
    <x v="1"/>
    <x v="5"/>
    <n v="350"/>
    <x v="3"/>
    <x v="3"/>
    <x v="38"/>
    <x v="263"/>
  </r>
  <r>
    <n v="1265"/>
    <d v="2024-06-09T00:00:00"/>
    <s v="C012"/>
    <x v="7"/>
    <x v="3"/>
    <x v="2"/>
    <x v="6"/>
    <n v="7500"/>
    <x v="3"/>
    <x v="1"/>
    <x v="129"/>
    <x v="264"/>
  </r>
  <r>
    <n v="1266"/>
    <d v="2024-06-01T00:00:00"/>
    <s v="C009"/>
    <x v="3"/>
    <x v="1"/>
    <x v="2"/>
    <x v="6"/>
    <n v="7500"/>
    <x v="1"/>
    <x v="0"/>
    <x v="130"/>
    <x v="265"/>
  </r>
  <r>
    <n v="1267"/>
    <d v="2024-03-19T00:00:00"/>
    <s v="C001"/>
    <x v="1"/>
    <x v="2"/>
    <x v="2"/>
    <x v="9"/>
    <n v="12000"/>
    <x v="2"/>
    <x v="0"/>
    <x v="96"/>
    <x v="266"/>
  </r>
  <r>
    <n v="1268"/>
    <d v="2024-04-20T00:00:00"/>
    <s v="C005"/>
    <x v="5"/>
    <x v="3"/>
    <x v="1"/>
    <x v="1"/>
    <n v="200"/>
    <x v="2"/>
    <x v="3"/>
    <x v="131"/>
    <x v="267"/>
  </r>
  <r>
    <n v="1269"/>
    <d v="2024-04-15T00:00:00"/>
    <s v="C010"/>
    <x v="11"/>
    <x v="0"/>
    <x v="0"/>
    <x v="4"/>
    <n v="55000"/>
    <x v="3"/>
    <x v="2"/>
    <x v="132"/>
    <x v="268"/>
  </r>
  <r>
    <n v="1270"/>
    <d v="2024-06-17T00:00:00"/>
    <s v="C001"/>
    <x v="1"/>
    <x v="2"/>
    <x v="2"/>
    <x v="3"/>
    <n v="9500"/>
    <x v="2"/>
    <x v="2"/>
    <x v="6"/>
    <x v="269"/>
  </r>
  <r>
    <n v="1271"/>
    <d v="2024-01-17T00:00:00"/>
    <s v="C006"/>
    <x v="6"/>
    <x v="1"/>
    <x v="2"/>
    <x v="6"/>
    <n v="7500"/>
    <x v="2"/>
    <x v="0"/>
    <x v="45"/>
    <x v="270"/>
  </r>
  <r>
    <n v="1272"/>
    <d v="2024-05-31T00:00:00"/>
    <s v="C005"/>
    <x v="5"/>
    <x v="0"/>
    <x v="2"/>
    <x v="3"/>
    <n v="9500"/>
    <x v="3"/>
    <x v="0"/>
    <x v="133"/>
    <x v="271"/>
  </r>
  <r>
    <n v="1273"/>
    <d v="2024-06-19T00:00:00"/>
    <s v="C005"/>
    <x v="5"/>
    <x v="0"/>
    <x v="1"/>
    <x v="5"/>
    <n v="350"/>
    <x v="0"/>
    <x v="0"/>
    <x v="93"/>
    <x v="272"/>
  </r>
  <r>
    <n v="1274"/>
    <d v="2024-05-12T00:00:00"/>
    <s v="C009"/>
    <x v="3"/>
    <x v="0"/>
    <x v="0"/>
    <x v="7"/>
    <n v="18000"/>
    <x v="2"/>
    <x v="0"/>
    <x v="30"/>
    <x v="273"/>
  </r>
  <r>
    <n v="1275"/>
    <d v="2024-02-09T00:00:00"/>
    <s v="C010"/>
    <x v="11"/>
    <x v="2"/>
    <x v="0"/>
    <x v="4"/>
    <n v="55000"/>
    <x v="1"/>
    <x v="3"/>
    <x v="134"/>
    <x v="274"/>
  </r>
  <r>
    <n v="1276"/>
    <d v="2024-06-14T00:00:00"/>
    <s v="C009"/>
    <x v="3"/>
    <x v="3"/>
    <x v="0"/>
    <x v="2"/>
    <n v="22000"/>
    <x v="0"/>
    <x v="0"/>
    <x v="102"/>
    <x v="275"/>
  </r>
  <r>
    <n v="1277"/>
    <d v="2024-02-04T00:00:00"/>
    <s v="C011"/>
    <x v="4"/>
    <x v="2"/>
    <x v="1"/>
    <x v="5"/>
    <n v="350"/>
    <x v="1"/>
    <x v="1"/>
    <x v="135"/>
    <x v="276"/>
  </r>
  <r>
    <n v="1278"/>
    <d v="2024-06-03T00:00:00"/>
    <s v="C009"/>
    <x v="3"/>
    <x v="0"/>
    <x v="2"/>
    <x v="6"/>
    <n v="7500"/>
    <x v="0"/>
    <x v="3"/>
    <x v="36"/>
    <x v="277"/>
  </r>
  <r>
    <n v="1279"/>
    <d v="2024-04-11T00:00:00"/>
    <s v="C011"/>
    <x v="4"/>
    <x v="1"/>
    <x v="2"/>
    <x v="9"/>
    <n v="12000"/>
    <x v="3"/>
    <x v="3"/>
    <x v="58"/>
    <x v="278"/>
  </r>
  <r>
    <n v="1280"/>
    <d v="2024-04-25T00:00:00"/>
    <s v="C009"/>
    <x v="3"/>
    <x v="1"/>
    <x v="2"/>
    <x v="6"/>
    <n v="7500"/>
    <x v="1"/>
    <x v="3"/>
    <x v="136"/>
    <x v="279"/>
  </r>
  <r>
    <n v="1281"/>
    <d v="2024-04-01T00:00:00"/>
    <s v="C012"/>
    <x v="7"/>
    <x v="3"/>
    <x v="2"/>
    <x v="9"/>
    <n v="12000"/>
    <x v="4"/>
    <x v="3"/>
    <x v="57"/>
    <x v="280"/>
  </r>
  <r>
    <n v="1282"/>
    <d v="2024-06-19T00:00:00"/>
    <s v="C002"/>
    <x v="2"/>
    <x v="0"/>
    <x v="2"/>
    <x v="3"/>
    <n v="9500"/>
    <x v="1"/>
    <x v="3"/>
    <x v="11"/>
    <x v="281"/>
  </r>
  <r>
    <n v="1283"/>
    <d v="2024-01-22T00:00:00"/>
    <s v="C001"/>
    <x v="1"/>
    <x v="0"/>
    <x v="1"/>
    <x v="8"/>
    <n v="500"/>
    <x v="4"/>
    <x v="0"/>
    <x v="52"/>
    <x v="282"/>
  </r>
  <r>
    <n v="1284"/>
    <d v="2024-05-26T00:00:00"/>
    <s v="C011"/>
    <x v="4"/>
    <x v="3"/>
    <x v="1"/>
    <x v="8"/>
    <n v="500"/>
    <x v="3"/>
    <x v="1"/>
    <x v="76"/>
    <x v="283"/>
  </r>
  <r>
    <n v="1285"/>
    <d v="2024-06-29T00:00:00"/>
    <s v="C007"/>
    <x v="10"/>
    <x v="0"/>
    <x v="0"/>
    <x v="7"/>
    <n v="18000"/>
    <x v="1"/>
    <x v="1"/>
    <x v="137"/>
    <x v="284"/>
  </r>
  <r>
    <n v="1286"/>
    <d v="2024-06-09T00:00:00"/>
    <s v="C003"/>
    <x v="0"/>
    <x v="3"/>
    <x v="1"/>
    <x v="1"/>
    <n v="200"/>
    <x v="1"/>
    <x v="0"/>
    <x v="2"/>
    <x v="285"/>
  </r>
  <r>
    <n v="1287"/>
    <d v="2024-03-28T00:00:00"/>
    <s v="C004"/>
    <x v="8"/>
    <x v="2"/>
    <x v="0"/>
    <x v="4"/>
    <n v="55000"/>
    <x v="1"/>
    <x v="3"/>
    <x v="134"/>
    <x v="286"/>
  </r>
  <r>
    <n v="1288"/>
    <d v="2024-05-23T00:00:00"/>
    <s v="C009"/>
    <x v="3"/>
    <x v="1"/>
    <x v="1"/>
    <x v="5"/>
    <n v="350"/>
    <x v="2"/>
    <x v="3"/>
    <x v="116"/>
    <x v="287"/>
  </r>
  <r>
    <n v="1289"/>
    <d v="2024-04-27T00:00:00"/>
    <s v="C010"/>
    <x v="11"/>
    <x v="0"/>
    <x v="1"/>
    <x v="5"/>
    <n v="350"/>
    <x v="2"/>
    <x v="3"/>
    <x v="116"/>
    <x v="288"/>
  </r>
  <r>
    <n v="1290"/>
    <d v="2024-06-23T00:00:00"/>
    <s v="C001"/>
    <x v="1"/>
    <x v="2"/>
    <x v="0"/>
    <x v="2"/>
    <n v="22000"/>
    <x v="4"/>
    <x v="0"/>
    <x v="138"/>
    <x v="289"/>
  </r>
  <r>
    <n v="1291"/>
    <d v="2024-02-21T00:00:00"/>
    <s v="C001"/>
    <x v="1"/>
    <x v="2"/>
    <x v="1"/>
    <x v="1"/>
    <n v="200"/>
    <x v="3"/>
    <x v="2"/>
    <x v="139"/>
    <x v="290"/>
  </r>
  <r>
    <n v="1292"/>
    <d v="2024-01-24T00:00:00"/>
    <s v="C001"/>
    <x v="1"/>
    <x v="0"/>
    <x v="0"/>
    <x v="0"/>
    <n v="3000"/>
    <x v="0"/>
    <x v="2"/>
    <x v="114"/>
    <x v="291"/>
  </r>
  <r>
    <n v="1293"/>
    <d v="2024-02-19T00:00:00"/>
    <s v="C003"/>
    <x v="0"/>
    <x v="3"/>
    <x v="1"/>
    <x v="1"/>
    <n v="200"/>
    <x v="4"/>
    <x v="2"/>
    <x v="85"/>
    <x v="292"/>
  </r>
  <r>
    <n v="1294"/>
    <d v="2024-03-12T00:00:00"/>
    <s v="C002"/>
    <x v="2"/>
    <x v="0"/>
    <x v="1"/>
    <x v="5"/>
    <n v="350"/>
    <x v="4"/>
    <x v="1"/>
    <x v="106"/>
    <x v="293"/>
  </r>
  <r>
    <n v="1295"/>
    <d v="2024-04-24T00:00:00"/>
    <s v="C009"/>
    <x v="3"/>
    <x v="3"/>
    <x v="0"/>
    <x v="4"/>
    <n v="55000"/>
    <x v="3"/>
    <x v="1"/>
    <x v="84"/>
    <x v="294"/>
  </r>
  <r>
    <n v="1296"/>
    <d v="2024-01-13T00:00:00"/>
    <s v="C004"/>
    <x v="8"/>
    <x v="2"/>
    <x v="2"/>
    <x v="6"/>
    <n v="7500"/>
    <x v="4"/>
    <x v="3"/>
    <x v="29"/>
    <x v="295"/>
  </r>
  <r>
    <n v="1297"/>
    <d v="2024-01-26T00:00:00"/>
    <s v="C010"/>
    <x v="11"/>
    <x v="2"/>
    <x v="0"/>
    <x v="0"/>
    <n v="3000"/>
    <x v="3"/>
    <x v="2"/>
    <x v="87"/>
    <x v="296"/>
  </r>
  <r>
    <n v="1298"/>
    <d v="2024-01-29T00:00:00"/>
    <s v="C008"/>
    <x v="9"/>
    <x v="1"/>
    <x v="1"/>
    <x v="5"/>
    <n v="350"/>
    <x v="2"/>
    <x v="2"/>
    <x v="140"/>
    <x v="297"/>
  </r>
  <r>
    <n v="1299"/>
    <d v="2024-06-26T00:00:00"/>
    <s v="C012"/>
    <x v="7"/>
    <x v="2"/>
    <x v="2"/>
    <x v="6"/>
    <n v="7500"/>
    <x v="4"/>
    <x v="3"/>
    <x v="29"/>
    <x v="298"/>
  </r>
  <r>
    <n v="1300"/>
    <d v="2024-01-23T00:00:00"/>
    <s v="C009"/>
    <x v="3"/>
    <x v="1"/>
    <x v="0"/>
    <x v="4"/>
    <n v="55000"/>
    <x v="1"/>
    <x v="1"/>
    <x v="53"/>
    <x v="299"/>
  </r>
  <r>
    <n v="1301"/>
    <d v="2024-06-22T00:00:00"/>
    <s v="C004"/>
    <x v="8"/>
    <x v="1"/>
    <x v="1"/>
    <x v="8"/>
    <n v="500"/>
    <x v="0"/>
    <x v="2"/>
    <x v="94"/>
    <x v="300"/>
  </r>
  <r>
    <n v="1302"/>
    <d v="2024-01-19T00:00:00"/>
    <s v="C002"/>
    <x v="2"/>
    <x v="3"/>
    <x v="2"/>
    <x v="9"/>
    <n v="12000"/>
    <x v="3"/>
    <x v="3"/>
    <x v="58"/>
    <x v="301"/>
  </r>
  <r>
    <n v="1303"/>
    <d v="2024-06-04T00:00:00"/>
    <s v="C005"/>
    <x v="5"/>
    <x v="1"/>
    <x v="1"/>
    <x v="5"/>
    <n v="350"/>
    <x v="4"/>
    <x v="2"/>
    <x v="141"/>
    <x v="302"/>
  </r>
  <r>
    <n v="1304"/>
    <d v="2024-06-24T00:00:00"/>
    <s v="C011"/>
    <x v="4"/>
    <x v="3"/>
    <x v="1"/>
    <x v="8"/>
    <n v="500"/>
    <x v="4"/>
    <x v="2"/>
    <x v="17"/>
    <x v="303"/>
  </r>
  <r>
    <n v="1305"/>
    <d v="2024-05-10T00:00:00"/>
    <s v="C002"/>
    <x v="2"/>
    <x v="3"/>
    <x v="2"/>
    <x v="9"/>
    <n v="12000"/>
    <x v="1"/>
    <x v="1"/>
    <x v="62"/>
    <x v="304"/>
  </r>
  <r>
    <n v="1306"/>
    <d v="2024-02-16T00:00:00"/>
    <s v="C004"/>
    <x v="8"/>
    <x v="2"/>
    <x v="0"/>
    <x v="2"/>
    <n v="22000"/>
    <x v="4"/>
    <x v="2"/>
    <x v="142"/>
    <x v="305"/>
  </r>
  <r>
    <n v="1307"/>
    <d v="2024-02-14T00:00:00"/>
    <s v="C009"/>
    <x v="3"/>
    <x v="1"/>
    <x v="1"/>
    <x v="5"/>
    <n v="350"/>
    <x v="3"/>
    <x v="0"/>
    <x v="79"/>
    <x v="306"/>
  </r>
  <r>
    <n v="1308"/>
    <d v="2024-05-02T00:00:00"/>
    <s v="C005"/>
    <x v="5"/>
    <x v="3"/>
    <x v="0"/>
    <x v="0"/>
    <n v="3000"/>
    <x v="4"/>
    <x v="2"/>
    <x v="44"/>
    <x v="307"/>
  </r>
  <r>
    <n v="1309"/>
    <d v="2024-03-03T00:00:00"/>
    <s v="C005"/>
    <x v="5"/>
    <x v="1"/>
    <x v="0"/>
    <x v="7"/>
    <n v="18000"/>
    <x v="3"/>
    <x v="1"/>
    <x v="89"/>
    <x v="308"/>
  </r>
  <r>
    <n v="1310"/>
    <d v="2024-05-30T00:00:00"/>
    <s v="C001"/>
    <x v="1"/>
    <x v="3"/>
    <x v="1"/>
    <x v="8"/>
    <n v="500"/>
    <x v="4"/>
    <x v="1"/>
    <x v="82"/>
    <x v="309"/>
  </r>
  <r>
    <n v="1311"/>
    <d v="2024-02-29T00:00:00"/>
    <s v="C001"/>
    <x v="1"/>
    <x v="2"/>
    <x v="1"/>
    <x v="1"/>
    <n v="200"/>
    <x v="1"/>
    <x v="2"/>
    <x v="143"/>
    <x v="310"/>
  </r>
  <r>
    <n v="1312"/>
    <d v="2024-05-01T00:00:00"/>
    <s v="C001"/>
    <x v="1"/>
    <x v="2"/>
    <x v="1"/>
    <x v="1"/>
    <n v="200"/>
    <x v="3"/>
    <x v="2"/>
    <x v="139"/>
    <x v="311"/>
  </r>
  <r>
    <n v="1313"/>
    <d v="2024-05-14T00:00:00"/>
    <s v="C010"/>
    <x v="11"/>
    <x v="2"/>
    <x v="1"/>
    <x v="1"/>
    <n v="200"/>
    <x v="3"/>
    <x v="0"/>
    <x v="12"/>
    <x v="312"/>
  </r>
  <r>
    <n v="1314"/>
    <d v="2024-03-11T00:00:00"/>
    <s v="C002"/>
    <x v="2"/>
    <x v="2"/>
    <x v="1"/>
    <x v="1"/>
    <n v="200"/>
    <x v="2"/>
    <x v="1"/>
    <x v="88"/>
    <x v="313"/>
  </r>
  <r>
    <n v="1315"/>
    <d v="2024-06-29T00:00:00"/>
    <s v="C011"/>
    <x v="4"/>
    <x v="3"/>
    <x v="2"/>
    <x v="3"/>
    <n v="9500"/>
    <x v="4"/>
    <x v="0"/>
    <x v="39"/>
    <x v="314"/>
  </r>
  <r>
    <n v="1316"/>
    <d v="2024-04-20T00:00:00"/>
    <s v="C008"/>
    <x v="9"/>
    <x v="0"/>
    <x v="0"/>
    <x v="2"/>
    <n v="22000"/>
    <x v="1"/>
    <x v="1"/>
    <x v="3"/>
    <x v="315"/>
  </r>
  <r>
    <n v="1317"/>
    <d v="2024-03-16T00:00:00"/>
    <s v="C011"/>
    <x v="4"/>
    <x v="1"/>
    <x v="2"/>
    <x v="3"/>
    <n v="9500"/>
    <x v="4"/>
    <x v="0"/>
    <x v="39"/>
    <x v="316"/>
  </r>
  <r>
    <n v="1318"/>
    <d v="2024-01-28T00:00:00"/>
    <s v="C002"/>
    <x v="2"/>
    <x v="0"/>
    <x v="2"/>
    <x v="6"/>
    <n v="7500"/>
    <x v="0"/>
    <x v="3"/>
    <x v="36"/>
    <x v="317"/>
  </r>
  <r>
    <n v="1319"/>
    <d v="2024-01-06T00:00:00"/>
    <s v="C008"/>
    <x v="9"/>
    <x v="3"/>
    <x v="0"/>
    <x v="0"/>
    <n v="3000"/>
    <x v="3"/>
    <x v="1"/>
    <x v="72"/>
    <x v="318"/>
  </r>
  <r>
    <n v="1320"/>
    <d v="2024-05-23T00:00:00"/>
    <s v="C008"/>
    <x v="9"/>
    <x v="2"/>
    <x v="0"/>
    <x v="4"/>
    <n v="55000"/>
    <x v="0"/>
    <x v="3"/>
    <x v="91"/>
    <x v="319"/>
  </r>
  <r>
    <n v="1321"/>
    <d v="2024-06-17T00:00:00"/>
    <s v="C004"/>
    <x v="8"/>
    <x v="0"/>
    <x v="0"/>
    <x v="4"/>
    <n v="55000"/>
    <x v="2"/>
    <x v="3"/>
    <x v="8"/>
    <x v="320"/>
  </r>
  <r>
    <n v="1322"/>
    <d v="2024-03-28T00:00:00"/>
    <s v="C002"/>
    <x v="2"/>
    <x v="3"/>
    <x v="0"/>
    <x v="0"/>
    <n v="3000"/>
    <x v="2"/>
    <x v="0"/>
    <x v="111"/>
    <x v="321"/>
  </r>
  <r>
    <n v="1323"/>
    <d v="2024-03-23T00:00:00"/>
    <s v="C011"/>
    <x v="4"/>
    <x v="3"/>
    <x v="2"/>
    <x v="6"/>
    <n v="7500"/>
    <x v="0"/>
    <x v="0"/>
    <x v="95"/>
    <x v="322"/>
  </r>
  <r>
    <n v="1324"/>
    <d v="2024-06-02T00:00:00"/>
    <s v="C005"/>
    <x v="5"/>
    <x v="3"/>
    <x v="0"/>
    <x v="7"/>
    <n v="18000"/>
    <x v="3"/>
    <x v="0"/>
    <x v="59"/>
    <x v="323"/>
  </r>
  <r>
    <n v="1325"/>
    <d v="2024-05-05T00:00:00"/>
    <s v="C001"/>
    <x v="1"/>
    <x v="0"/>
    <x v="1"/>
    <x v="5"/>
    <n v="350"/>
    <x v="4"/>
    <x v="2"/>
    <x v="141"/>
    <x v="324"/>
  </r>
  <r>
    <n v="1326"/>
    <d v="2024-01-28T00:00:00"/>
    <s v="C007"/>
    <x v="10"/>
    <x v="1"/>
    <x v="1"/>
    <x v="5"/>
    <n v="350"/>
    <x v="3"/>
    <x v="3"/>
    <x v="38"/>
    <x v="325"/>
  </r>
  <r>
    <n v="1327"/>
    <d v="2024-01-10T00:00:00"/>
    <s v="C004"/>
    <x v="8"/>
    <x v="3"/>
    <x v="2"/>
    <x v="6"/>
    <n v="7500"/>
    <x v="1"/>
    <x v="2"/>
    <x v="144"/>
    <x v="326"/>
  </r>
  <r>
    <n v="1328"/>
    <d v="2024-06-25T00:00:00"/>
    <s v="C004"/>
    <x v="8"/>
    <x v="3"/>
    <x v="2"/>
    <x v="9"/>
    <n v="12000"/>
    <x v="1"/>
    <x v="0"/>
    <x v="89"/>
    <x v="327"/>
  </r>
  <r>
    <n v="1329"/>
    <d v="2024-04-17T00:00:00"/>
    <s v="C002"/>
    <x v="2"/>
    <x v="1"/>
    <x v="1"/>
    <x v="5"/>
    <n v="350"/>
    <x v="3"/>
    <x v="2"/>
    <x v="145"/>
    <x v="328"/>
  </r>
  <r>
    <n v="1330"/>
    <d v="2024-06-28T00:00:00"/>
    <s v="C008"/>
    <x v="9"/>
    <x v="0"/>
    <x v="2"/>
    <x v="9"/>
    <n v="12000"/>
    <x v="0"/>
    <x v="2"/>
    <x v="44"/>
    <x v="329"/>
  </r>
  <r>
    <n v="1331"/>
    <d v="2024-04-25T00:00:00"/>
    <s v="C007"/>
    <x v="10"/>
    <x v="1"/>
    <x v="1"/>
    <x v="8"/>
    <n v="500"/>
    <x v="2"/>
    <x v="1"/>
    <x v="1"/>
    <x v="330"/>
  </r>
  <r>
    <n v="1332"/>
    <d v="2024-03-14T00:00:00"/>
    <s v="C008"/>
    <x v="9"/>
    <x v="1"/>
    <x v="0"/>
    <x v="4"/>
    <n v="55000"/>
    <x v="0"/>
    <x v="3"/>
    <x v="91"/>
    <x v="331"/>
  </r>
  <r>
    <n v="1333"/>
    <d v="2024-03-31T00:00:00"/>
    <s v="C001"/>
    <x v="1"/>
    <x v="3"/>
    <x v="2"/>
    <x v="6"/>
    <n v="7500"/>
    <x v="0"/>
    <x v="0"/>
    <x v="95"/>
    <x v="332"/>
  </r>
  <r>
    <n v="1334"/>
    <d v="2024-01-23T00:00:00"/>
    <s v="C002"/>
    <x v="2"/>
    <x v="2"/>
    <x v="2"/>
    <x v="6"/>
    <n v="7500"/>
    <x v="0"/>
    <x v="1"/>
    <x v="50"/>
    <x v="333"/>
  </r>
  <r>
    <n v="1335"/>
    <d v="2024-01-11T00:00:00"/>
    <s v="C006"/>
    <x v="6"/>
    <x v="1"/>
    <x v="2"/>
    <x v="6"/>
    <n v="7500"/>
    <x v="4"/>
    <x v="2"/>
    <x v="66"/>
    <x v="334"/>
  </r>
  <r>
    <n v="1336"/>
    <d v="2024-04-22T00:00:00"/>
    <s v="C006"/>
    <x v="6"/>
    <x v="3"/>
    <x v="1"/>
    <x v="1"/>
    <n v="200"/>
    <x v="0"/>
    <x v="3"/>
    <x v="97"/>
    <x v="335"/>
  </r>
  <r>
    <n v="1337"/>
    <d v="2024-03-01T00:00:00"/>
    <s v="C002"/>
    <x v="2"/>
    <x v="0"/>
    <x v="0"/>
    <x v="0"/>
    <n v="3000"/>
    <x v="2"/>
    <x v="1"/>
    <x v="5"/>
    <x v="336"/>
  </r>
  <r>
    <n v="1338"/>
    <d v="2024-03-15T00:00:00"/>
    <s v="C007"/>
    <x v="10"/>
    <x v="0"/>
    <x v="1"/>
    <x v="5"/>
    <n v="350"/>
    <x v="4"/>
    <x v="1"/>
    <x v="106"/>
    <x v="337"/>
  </r>
  <r>
    <n v="1339"/>
    <d v="2024-03-10T00:00:00"/>
    <s v="C012"/>
    <x v="7"/>
    <x v="1"/>
    <x v="2"/>
    <x v="9"/>
    <n v="12000"/>
    <x v="0"/>
    <x v="0"/>
    <x v="119"/>
    <x v="338"/>
  </r>
  <r>
    <n v="1340"/>
    <d v="2024-06-10T00:00:00"/>
    <s v="C009"/>
    <x v="3"/>
    <x v="1"/>
    <x v="0"/>
    <x v="7"/>
    <n v="18000"/>
    <x v="4"/>
    <x v="3"/>
    <x v="105"/>
    <x v="339"/>
  </r>
  <r>
    <n v="1341"/>
    <d v="2024-06-03T00:00:00"/>
    <s v="C012"/>
    <x v="7"/>
    <x v="0"/>
    <x v="2"/>
    <x v="9"/>
    <n v="12000"/>
    <x v="2"/>
    <x v="0"/>
    <x v="96"/>
    <x v="340"/>
  </r>
  <r>
    <n v="1342"/>
    <d v="2024-03-15T00:00:00"/>
    <s v="C012"/>
    <x v="7"/>
    <x v="0"/>
    <x v="1"/>
    <x v="1"/>
    <n v="200"/>
    <x v="3"/>
    <x v="2"/>
    <x v="139"/>
    <x v="341"/>
  </r>
  <r>
    <n v="1343"/>
    <d v="2024-06-13T00:00:00"/>
    <s v="C003"/>
    <x v="0"/>
    <x v="1"/>
    <x v="0"/>
    <x v="7"/>
    <n v="18000"/>
    <x v="0"/>
    <x v="3"/>
    <x v="16"/>
    <x v="342"/>
  </r>
  <r>
    <n v="1344"/>
    <d v="2024-06-08T00:00:00"/>
    <s v="C009"/>
    <x v="3"/>
    <x v="0"/>
    <x v="2"/>
    <x v="3"/>
    <n v="9500"/>
    <x v="4"/>
    <x v="3"/>
    <x v="146"/>
    <x v="343"/>
  </r>
  <r>
    <n v="1345"/>
    <d v="2024-02-18T00:00:00"/>
    <s v="C012"/>
    <x v="7"/>
    <x v="3"/>
    <x v="0"/>
    <x v="0"/>
    <n v="3000"/>
    <x v="0"/>
    <x v="0"/>
    <x v="0"/>
    <x v="344"/>
  </r>
  <r>
    <n v="1346"/>
    <d v="2024-05-23T00:00:00"/>
    <s v="C004"/>
    <x v="8"/>
    <x v="0"/>
    <x v="2"/>
    <x v="9"/>
    <n v="12000"/>
    <x v="4"/>
    <x v="3"/>
    <x v="57"/>
    <x v="345"/>
  </r>
  <r>
    <n v="1347"/>
    <d v="2024-06-05T00:00:00"/>
    <s v="C008"/>
    <x v="9"/>
    <x v="1"/>
    <x v="2"/>
    <x v="6"/>
    <n v="7500"/>
    <x v="0"/>
    <x v="1"/>
    <x v="50"/>
    <x v="346"/>
  </r>
  <r>
    <n v="1348"/>
    <d v="2024-04-07T00:00:00"/>
    <s v="C008"/>
    <x v="9"/>
    <x v="2"/>
    <x v="2"/>
    <x v="6"/>
    <n v="7500"/>
    <x v="2"/>
    <x v="1"/>
    <x v="70"/>
    <x v="347"/>
  </r>
  <r>
    <n v="1349"/>
    <d v="2024-03-11T00:00:00"/>
    <s v="C008"/>
    <x v="9"/>
    <x v="1"/>
    <x v="2"/>
    <x v="6"/>
    <n v="7500"/>
    <x v="0"/>
    <x v="1"/>
    <x v="50"/>
    <x v="348"/>
  </r>
  <r>
    <n v="1350"/>
    <d v="2024-04-11T00:00:00"/>
    <s v="C009"/>
    <x v="3"/>
    <x v="3"/>
    <x v="0"/>
    <x v="0"/>
    <n v="3000"/>
    <x v="2"/>
    <x v="0"/>
    <x v="111"/>
    <x v="349"/>
  </r>
  <r>
    <n v="1351"/>
    <d v="2024-04-08T00:00:00"/>
    <s v="C003"/>
    <x v="0"/>
    <x v="2"/>
    <x v="2"/>
    <x v="6"/>
    <n v="7500"/>
    <x v="1"/>
    <x v="1"/>
    <x v="147"/>
    <x v="350"/>
  </r>
  <r>
    <n v="1352"/>
    <d v="2024-02-06T00:00:00"/>
    <s v="C008"/>
    <x v="9"/>
    <x v="3"/>
    <x v="0"/>
    <x v="0"/>
    <n v="3000"/>
    <x v="1"/>
    <x v="1"/>
    <x v="70"/>
    <x v="351"/>
  </r>
  <r>
    <n v="1353"/>
    <d v="2024-03-27T00:00:00"/>
    <s v="C002"/>
    <x v="2"/>
    <x v="1"/>
    <x v="1"/>
    <x v="8"/>
    <n v="500"/>
    <x v="4"/>
    <x v="3"/>
    <x v="27"/>
    <x v="352"/>
  </r>
  <r>
    <n v="1354"/>
    <d v="2024-03-09T00:00:00"/>
    <s v="C001"/>
    <x v="1"/>
    <x v="1"/>
    <x v="0"/>
    <x v="7"/>
    <n v="18000"/>
    <x v="0"/>
    <x v="2"/>
    <x v="26"/>
    <x v="353"/>
  </r>
  <r>
    <n v="1355"/>
    <d v="2024-04-15T00:00:00"/>
    <s v="C005"/>
    <x v="5"/>
    <x v="2"/>
    <x v="2"/>
    <x v="6"/>
    <n v="7500"/>
    <x v="3"/>
    <x v="3"/>
    <x v="148"/>
    <x v="354"/>
  </r>
  <r>
    <n v="1356"/>
    <d v="2024-06-14T00:00:00"/>
    <s v="C012"/>
    <x v="7"/>
    <x v="3"/>
    <x v="0"/>
    <x v="2"/>
    <n v="22000"/>
    <x v="4"/>
    <x v="3"/>
    <x v="101"/>
    <x v="355"/>
  </r>
  <r>
    <n v="1357"/>
    <d v="2024-04-27T00:00:00"/>
    <s v="C001"/>
    <x v="1"/>
    <x v="0"/>
    <x v="0"/>
    <x v="4"/>
    <n v="55000"/>
    <x v="3"/>
    <x v="2"/>
    <x v="132"/>
    <x v="356"/>
  </r>
  <r>
    <n v="1358"/>
    <d v="2024-01-12T00:00:00"/>
    <s v="C007"/>
    <x v="10"/>
    <x v="1"/>
    <x v="0"/>
    <x v="4"/>
    <n v="55000"/>
    <x v="4"/>
    <x v="1"/>
    <x v="149"/>
    <x v="357"/>
  </r>
  <r>
    <n v="1359"/>
    <d v="2024-05-26T00:00:00"/>
    <s v="C012"/>
    <x v="7"/>
    <x v="3"/>
    <x v="2"/>
    <x v="9"/>
    <n v="12000"/>
    <x v="0"/>
    <x v="0"/>
    <x v="119"/>
    <x v="358"/>
  </r>
  <r>
    <n v="1360"/>
    <d v="2024-01-06T00:00:00"/>
    <s v="C001"/>
    <x v="1"/>
    <x v="0"/>
    <x v="2"/>
    <x v="3"/>
    <n v="9500"/>
    <x v="0"/>
    <x v="3"/>
    <x v="68"/>
    <x v="359"/>
  </r>
  <r>
    <n v="1361"/>
    <d v="2024-03-27T00:00:00"/>
    <s v="C012"/>
    <x v="7"/>
    <x v="1"/>
    <x v="2"/>
    <x v="9"/>
    <n v="12000"/>
    <x v="0"/>
    <x v="3"/>
    <x v="74"/>
    <x v="360"/>
  </r>
  <r>
    <n v="1362"/>
    <d v="2024-03-18T00:00:00"/>
    <s v="C007"/>
    <x v="10"/>
    <x v="1"/>
    <x v="0"/>
    <x v="7"/>
    <n v="18000"/>
    <x v="1"/>
    <x v="2"/>
    <x v="120"/>
    <x v="361"/>
  </r>
  <r>
    <n v="1363"/>
    <d v="2024-06-03T00:00:00"/>
    <s v="C009"/>
    <x v="3"/>
    <x v="3"/>
    <x v="2"/>
    <x v="9"/>
    <n v="12000"/>
    <x v="1"/>
    <x v="1"/>
    <x v="62"/>
    <x v="362"/>
  </r>
  <r>
    <n v="1364"/>
    <d v="2024-03-16T00:00:00"/>
    <s v="C010"/>
    <x v="11"/>
    <x v="2"/>
    <x v="0"/>
    <x v="4"/>
    <n v="55000"/>
    <x v="4"/>
    <x v="1"/>
    <x v="149"/>
    <x v="363"/>
  </r>
  <r>
    <n v="1365"/>
    <d v="2024-01-12T00:00:00"/>
    <s v="C011"/>
    <x v="4"/>
    <x v="0"/>
    <x v="2"/>
    <x v="6"/>
    <n v="7500"/>
    <x v="0"/>
    <x v="3"/>
    <x v="36"/>
    <x v="364"/>
  </r>
  <r>
    <n v="1366"/>
    <d v="2024-05-20T00:00:00"/>
    <s v="C001"/>
    <x v="1"/>
    <x v="2"/>
    <x v="1"/>
    <x v="8"/>
    <n v="500"/>
    <x v="1"/>
    <x v="3"/>
    <x v="150"/>
    <x v="365"/>
  </r>
  <r>
    <n v="1367"/>
    <d v="2024-02-18T00:00:00"/>
    <s v="C011"/>
    <x v="4"/>
    <x v="0"/>
    <x v="0"/>
    <x v="2"/>
    <n v="22000"/>
    <x v="1"/>
    <x v="1"/>
    <x v="3"/>
    <x v="366"/>
  </r>
  <r>
    <n v="1368"/>
    <d v="2024-01-30T00:00:00"/>
    <s v="C001"/>
    <x v="1"/>
    <x v="2"/>
    <x v="1"/>
    <x v="8"/>
    <n v="500"/>
    <x v="3"/>
    <x v="0"/>
    <x v="86"/>
    <x v="367"/>
  </r>
  <r>
    <n v="1369"/>
    <d v="2024-02-19T00:00:00"/>
    <s v="C011"/>
    <x v="4"/>
    <x v="2"/>
    <x v="0"/>
    <x v="2"/>
    <n v="22000"/>
    <x v="0"/>
    <x v="0"/>
    <x v="102"/>
    <x v="368"/>
  </r>
  <r>
    <n v="1370"/>
    <d v="2024-01-03T00:00:00"/>
    <s v="C006"/>
    <x v="6"/>
    <x v="1"/>
    <x v="2"/>
    <x v="6"/>
    <n v="7500"/>
    <x v="0"/>
    <x v="1"/>
    <x v="50"/>
    <x v="369"/>
  </r>
  <r>
    <n v="1371"/>
    <d v="2024-03-15T00:00:00"/>
    <s v="C004"/>
    <x v="8"/>
    <x v="1"/>
    <x v="1"/>
    <x v="5"/>
    <n v="350"/>
    <x v="0"/>
    <x v="0"/>
    <x v="93"/>
    <x v="370"/>
  </r>
  <r>
    <n v="1372"/>
    <d v="2024-01-11T00:00:00"/>
    <s v="C008"/>
    <x v="9"/>
    <x v="2"/>
    <x v="2"/>
    <x v="9"/>
    <n v="12000"/>
    <x v="4"/>
    <x v="0"/>
    <x v="99"/>
    <x v="371"/>
  </r>
  <r>
    <n v="1373"/>
    <d v="2024-04-01T00:00:00"/>
    <s v="C008"/>
    <x v="9"/>
    <x v="1"/>
    <x v="1"/>
    <x v="8"/>
    <n v="500"/>
    <x v="3"/>
    <x v="2"/>
    <x v="151"/>
    <x v="372"/>
  </r>
  <r>
    <n v="1374"/>
    <d v="2024-01-25T00:00:00"/>
    <s v="C007"/>
    <x v="10"/>
    <x v="3"/>
    <x v="0"/>
    <x v="7"/>
    <n v="18000"/>
    <x v="2"/>
    <x v="0"/>
    <x v="30"/>
    <x v="373"/>
  </r>
  <r>
    <n v="1375"/>
    <d v="2024-01-31T00:00:00"/>
    <s v="C011"/>
    <x v="4"/>
    <x v="3"/>
    <x v="0"/>
    <x v="4"/>
    <n v="55000"/>
    <x v="3"/>
    <x v="0"/>
    <x v="152"/>
    <x v="374"/>
  </r>
  <r>
    <n v="1376"/>
    <d v="2024-01-04T00:00:00"/>
    <s v="C010"/>
    <x v="11"/>
    <x v="1"/>
    <x v="0"/>
    <x v="0"/>
    <n v="3000"/>
    <x v="3"/>
    <x v="1"/>
    <x v="72"/>
    <x v="375"/>
  </r>
  <r>
    <n v="1377"/>
    <d v="2024-04-16T00:00:00"/>
    <s v="C006"/>
    <x v="6"/>
    <x v="0"/>
    <x v="2"/>
    <x v="3"/>
    <n v="9500"/>
    <x v="3"/>
    <x v="0"/>
    <x v="133"/>
    <x v="376"/>
  </r>
  <r>
    <n v="1378"/>
    <d v="2024-05-09T00:00:00"/>
    <s v="C003"/>
    <x v="0"/>
    <x v="0"/>
    <x v="1"/>
    <x v="5"/>
    <n v="350"/>
    <x v="1"/>
    <x v="0"/>
    <x v="103"/>
    <x v="377"/>
  </r>
  <r>
    <n v="1379"/>
    <d v="2024-03-09T00:00:00"/>
    <s v="C010"/>
    <x v="11"/>
    <x v="3"/>
    <x v="0"/>
    <x v="2"/>
    <n v="22000"/>
    <x v="3"/>
    <x v="0"/>
    <x v="153"/>
    <x v="378"/>
  </r>
  <r>
    <n v="1380"/>
    <d v="2024-04-10T00:00:00"/>
    <s v="C003"/>
    <x v="0"/>
    <x v="0"/>
    <x v="2"/>
    <x v="6"/>
    <n v="7500"/>
    <x v="2"/>
    <x v="3"/>
    <x v="18"/>
    <x v="379"/>
  </r>
  <r>
    <n v="1381"/>
    <d v="2024-02-09T00:00:00"/>
    <s v="C010"/>
    <x v="11"/>
    <x v="1"/>
    <x v="2"/>
    <x v="3"/>
    <n v="9500"/>
    <x v="0"/>
    <x v="2"/>
    <x v="112"/>
    <x v="380"/>
  </r>
  <r>
    <n v="1382"/>
    <d v="2024-04-18T00:00:00"/>
    <s v="C006"/>
    <x v="6"/>
    <x v="0"/>
    <x v="1"/>
    <x v="1"/>
    <n v="200"/>
    <x v="3"/>
    <x v="3"/>
    <x v="154"/>
    <x v="381"/>
  </r>
  <r>
    <n v="1383"/>
    <d v="2024-05-31T00:00:00"/>
    <s v="C001"/>
    <x v="1"/>
    <x v="1"/>
    <x v="1"/>
    <x v="1"/>
    <n v="200"/>
    <x v="0"/>
    <x v="2"/>
    <x v="55"/>
    <x v="382"/>
  </r>
  <r>
    <n v="1384"/>
    <d v="2024-05-07T00:00:00"/>
    <s v="C008"/>
    <x v="9"/>
    <x v="3"/>
    <x v="1"/>
    <x v="1"/>
    <n v="200"/>
    <x v="3"/>
    <x v="3"/>
    <x v="154"/>
    <x v="383"/>
  </r>
  <r>
    <n v="1385"/>
    <d v="2024-02-17T00:00:00"/>
    <s v="C002"/>
    <x v="2"/>
    <x v="3"/>
    <x v="1"/>
    <x v="8"/>
    <n v="500"/>
    <x v="0"/>
    <x v="1"/>
    <x v="60"/>
    <x v="384"/>
  </r>
  <r>
    <n v="1386"/>
    <d v="2024-01-17T00:00:00"/>
    <s v="C003"/>
    <x v="0"/>
    <x v="3"/>
    <x v="0"/>
    <x v="4"/>
    <n v="55000"/>
    <x v="0"/>
    <x v="3"/>
    <x v="91"/>
    <x v="385"/>
  </r>
  <r>
    <n v="1387"/>
    <d v="2024-02-25T00:00:00"/>
    <s v="C009"/>
    <x v="3"/>
    <x v="3"/>
    <x v="2"/>
    <x v="9"/>
    <n v="12000"/>
    <x v="0"/>
    <x v="0"/>
    <x v="119"/>
    <x v="386"/>
  </r>
  <r>
    <n v="1388"/>
    <d v="2024-03-21T00:00:00"/>
    <s v="C002"/>
    <x v="2"/>
    <x v="0"/>
    <x v="2"/>
    <x v="9"/>
    <n v="12000"/>
    <x v="1"/>
    <x v="2"/>
    <x v="83"/>
    <x v="387"/>
  </r>
  <r>
    <n v="1389"/>
    <d v="2024-01-17T00:00:00"/>
    <s v="C002"/>
    <x v="2"/>
    <x v="1"/>
    <x v="2"/>
    <x v="6"/>
    <n v="7500"/>
    <x v="1"/>
    <x v="1"/>
    <x v="147"/>
    <x v="388"/>
  </r>
  <r>
    <n v="1390"/>
    <d v="2024-06-26T00:00:00"/>
    <s v="C004"/>
    <x v="8"/>
    <x v="3"/>
    <x v="1"/>
    <x v="8"/>
    <n v="500"/>
    <x v="1"/>
    <x v="2"/>
    <x v="37"/>
    <x v="389"/>
  </r>
  <r>
    <n v="1391"/>
    <d v="2024-03-09T00:00:00"/>
    <s v="C005"/>
    <x v="5"/>
    <x v="1"/>
    <x v="2"/>
    <x v="6"/>
    <n v="7500"/>
    <x v="4"/>
    <x v="2"/>
    <x v="66"/>
    <x v="390"/>
  </r>
  <r>
    <n v="1392"/>
    <d v="2024-01-10T00:00:00"/>
    <s v="C009"/>
    <x v="3"/>
    <x v="3"/>
    <x v="1"/>
    <x v="8"/>
    <n v="500"/>
    <x v="0"/>
    <x v="0"/>
    <x v="19"/>
    <x v="391"/>
  </r>
  <r>
    <n v="1393"/>
    <d v="2024-06-26T00:00:00"/>
    <s v="C009"/>
    <x v="3"/>
    <x v="0"/>
    <x v="0"/>
    <x v="4"/>
    <n v="55000"/>
    <x v="4"/>
    <x v="0"/>
    <x v="155"/>
    <x v="392"/>
  </r>
  <r>
    <n v="1394"/>
    <d v="2024-02-20T00:00:00"/>
    <s v="C007"/>
    <x v="10"/>
    <x v="0"/>
    <x v="1"/>
    <x v="1"/>
    <n v="200"/>
    <x v="3"/>
    <x v="0"/>
    <x v="12"/>
    <x v="393"/>
  </r>
  <r>
    <n v="1395"/>
    <d v="2024-02-06T00:00:00"/>
    <s v="C005"/>
    <x v="5"/>
    <x v="2"/>
    <x v="2"/>
    <x v="6"/>
    <n v="7500"/>
    <x v="2"/>
    <x v="1"/>
    <x v="70"/>
    <x v="394"/>
  </r>
  <r>
    <n v="1396"/>
    <d v="2024-01-13T00:00:00"/>
    <s v="C008"/>
    <x v="9"/>
    <x v="1"/>
    <x v="2"/>
    <x v="3"/>
    <n v="9500"/>
    <x v="4"/>
    <x v="0"/>
    <x v="39"/>
    <x v="395"/>
  </r>
  <r>
    <n v="1397"/>
    <d v="2024-01-11T00:00:00"/>
    <s v="C005"/>
    <x v="5"/>
    <x v="2"/>
    <x v="0"/>
    <x v="7"/>
    <n v="18000"/>
    <x v="1"/>
    <x v="0"/>
    <x v="156"/>
    <x v="396"/>
  </r>
  <r>
    <n v="1398"/>
    <d v="2024-04-14T00:00:00"/>
    <s v="C008"/>
    <x v="9"/>
    <x v="3"/>
    <x v="0"/>
    <x v="7"/>
    <n v="18000"/>
    <x v="3"/>
    <x v="0"/>
    <x v="59"/>
    <x v="397"/>
  </r>
  <r>
    <n v="1399"/>
    <d v="2024-03-27T00:00:00"/>
    <s v="C003"/>
    <x v="0"/>
    <x v="2"/>
    <x v="0"/>
    <x v="0"/>
    <n v="3000"/>
    <x v="0"/>
    <x v="2"/>
    <x v="114"/>
    <x v="398"/>
  </r>
  <r>
    <n v="1400"/>
    <d v="2024-06-09T00:00:00"/>
    <s v="C001"/>
    <x v="1"/>
    <x v="1"/>
    <x v="0"/>
    <x v="7"/>
    <n v="18000"/>
    <x v="1"/>
    <x v="3"/>
    <x v="92"/>
    <x v="399"/>
  </r>
  <r>
    <n v="1401"/>
    <d v="2024-06-13T00:00:00"/>
    <s v="C012"/>
    <x v="7"/>
    <x v="1"/>
    <x v="0"/>
    <x v="7"/>
    <n v="18000"/>
    <x v="4"/>
    <x v="3"/>
    <x v="105"/>
    <x v="400"/>
  </r>
  <r>
    <n v="1402"/>
    <d v="2024-06-26T00:00:00"/>
    <s v="C010"/>
    <x v="11"/>
    <x v="3"/>
    <x v="0"/>
    <x v="2"/>
    <n v="22000"/>
    <x v="3"/>
    <x v="3"/>
    <x v="157"/>
    <x v="401"/>
  </r>
  <r>
    <n v="1403"/>
    <d v="2024-04-13T00:00:00"/>
    <s v="C009"/>
    <x v="3"/>
    <x v="0"/>
    <x v="0"/>
    <x v="2"/>
    <n v="22000"/>
    <x v="4"/>
    <x v="0"/>
    <x v="138"/>
    <x v="402"/>
  </r>
  <r>
    <n v="1404"/>
    <d v="2024-03-07T00:00:00"/>
    <s v="C008"/>
    <x v="9"/>
    <x v="3"/>
    <x v="2"/>
    <x v="6"/>
    <n v="7500"/>
    <x v="0"/>
    <x v="0"/>
    <x v="95"/>
    <x v="403"/>
  </r>
  <r>
    <n v="1405"/>
    <d v="2024-01-27T00:00:00"/>
    <s v="C003"/>
    <x v="0"/>
    <x v="0"/>
    <x v="0"/>
    <x v="0"/>
    <n v="3000"/>
    <x v="0"/>
    <x v="0"/>
    <x v="0"/>
    <x v="404"/>
  </r>
  <r>
    <n v="1406"/>
    <d v="2024-06-28T00:00:00"/>
    <s v="C009"/>
    <x v="3"/>
    <x v="1"/>
    <x v="0"/>
    <x v="4"/>
    <n v="55000"/>
    <x v="4"/>
    <x v="3"/>
    <x v="54"/>
    <x v="405"/>
  </r>
  <r>
    <n v="1407"/>
    <d v="2024-03-13T00:00:00"/>
    <s v="C004"/>
    <x v="8"/>
    <x v="3"/>
    <x v="2"/>
    <x v="3"/>
    <n v="9500"/>
    <x v="1"/>
    <x v="0"/>
    <x v="158"/>
    <x v="406"/>
  </r>
  <r>
    <n v="1408"/>
    <d v="2024-04-26T00:00:00"/>
    <s v="C004"/>
    <x v="8"/>
    <x v="2"/>
    <x v="2"/>
    <x v="3"/>
    <n v="9500"/>
    <x v="0"/>
    <x v="0"/>
    <x v="87"/>
    <x v="407"/>
  </r>
  <r>
    <n v="1409"/>
    <d v="2024-04-29T00:00:00"/>
    <s v="C007"/>
    <x v="10"/>
    <x v="1"/>
    <x v="0"/>
    <x v="2"/>
    <n v="22000"/>
    <x v="1"/>
    <x v="3"/>
    <x v="8"/>
    <x v="408"/>
  </r>
  <r>
    <n v="1410"/>
    <d v="2024-05-28T00:00:00"/>
    <s v="C010"/>
    <x v="11"/>
    <x v="2"/>
    <x v="0"/>
    <x v="2"/>
    <n v="22000"/>
    <x v="3"/>
    <x v="2"/>
    <x v="32"/>
    <x v="409"/>
  </r>
  <r>
    <n v="1411"/>
    <d v="2024-04-15T00:00:00"/>
    <s v="C001"/>
    <x v="1"/>
    <x v="3"/>
    <x v="0"/>
    <x v="4"/>
    <n v="55000"/>
    <x v="1"/>
    <x v="0"/>
    <x v="49"/>
    <x v="410"/>
  </r>
  <r>
    <n v="1412"/>
    <d v="2024-02-02T00:00:00"/>
    <s v="C007"/>
    <x v="10"/>
    <x v="0"/>
    <x v="0"/>
    <x v="7"/>
    <n v="18000"/>
    <x v="1"/>
    <x v="0"/>
    <x v="156"/>
    <x v="411"/>
  </r>
  <r>
    <n v="1413"/>
    <d v="2024-05-03T00:00:00"/>
    <s v="C006"/>
    <x v="6"/>
    <x v="1"/>
    <x v="0"/>
    <x v="0"/>
    <n v="3000"/>
    <x v="1"/>
    <x v="1"/>
    <x v="70"/>
    <x v="412"/>
  </r>
  <r>
    <n v="1414"/>
    <d v="2024-01-06T00:00:00"/>
    <s v="C005"/>
    <x v="5"/>
    <x v="3"/>
    <x v="0"/>
    <x v="0"/>
    <n v="3000"/>
    <x v="2"/>
    <x v="2"/>
    <x v="78"/>
    <x v="413"/>
  </r>
  <r>
    <n v="1415"/>
    <d v="2024-03-21T00:00:00"/>
    <s v="C011"/>
    <x v="4"/>
    <x v="0"/>
    <x v="0"/>
    <x v="7"/>
    <n v="18000"/>
    <x v="1"/>
    <x v="0"/>
    <x v="156"/>
    <x v="414"/>
  </r>
  <r>
    <n v="1416"/>
    <d v="2024-01-16T00:00:00"/>
    <s v="C006"/>
    <x v="6"/>
    <x v="3"/>
    <x v="0"/>
    <x v="2"/>
    <n v="22000"/>
    <x v="1"/>
    <x v="0"/>
    <x v="117"/>
    <x v="415"/>
  </r>
  <r>
    <n v="1417"/>
    <d v="2024-01-05T00:00:00"/>
    <s v="C006"/>
    <x v="6"/>
    <x v="1"/>
    <x v="0"/>
    <x v="0"/>
    <n v="3000"/>
    <x v="4"/>
    <x v="2"/>
    <x v="44"/>
    <x v="416"/>
  </r>
  <r>
    <n v="1418"/>
    <d v="2024-02-01T00:00:00"/>
    <s v="C009"/>
    <x v="3"/>
    <x v="3"/>
    <x v="0"/>
    <x v="2"/>
    <n v="22000"/>
    <x v="0"/>
    <x v="1"/>
    <x v="34"/>
    <x v="417"/>
  </r>
  <r>
    <n v="1419"/>
    <d v="2024-05-14T00:00:00"/>
    <s v="C002"/>
    <x v="2"/>
    <x v="2"/>
    <x v="1"/>
    <x v="8"/>
    <n v="500"/>
    <x v="2"/>
    <x v="1"/>
    <x v="1"/>
    <x v="418"/>
  </r>
  <r>
    <n v="1420"/>
    <d v="2024-02-12T00:00:00"/>
    <s v="C005"/>
    <x v="5"/>
    <x v="1"/>
    <x v="0"/>
    <x v="0"/>
    <n v="3000"/>
    <x v="1"/>
    <x v="2"/>
    <x v="69"/>
    <x v="419"/>
  </r>
  <r>
    <n v="1421"/>
    <d v="2024-03-30T00:00:00"/>
    <s v="C003"/>
    <x v="0"/>
    <x v="1"/>
    <x v="0"/>
    <x v="0"/>
    <n v="3000"/>
    <x v="0"/>
    <x v="1"/>
    <x v="43"/>
    <x v="420"/>
  </r>
  <r>
    <n v="1422"/>
    <d v="2024-01-16T00:00:00"/>
    <s v="C009"/>
    <x v="3"/>
    <x v="1"/>
    <x v="0"/>
    <x v="2"/>
    <n v="22000"/>
    <x v="2"/>
    <x v="2"/>
    <x v="24"/>
    <x v="421"/>
  </r>
  <r>
    <n v="1423"/>
    <d v="2024-04-02T00:00:00"/>
    <s v="C003"/>
    <x v="0"/>
    <x v="2"/>
    <x v="0"/>
    <x v="7"/>
    <n v="18000"/>
    <x v="4"/>
    <x v="3"/>
    <x v="105"/>
    <x v="422"/>
  </r>
  <r>
    <n v="1424"/>
    <d v="2024-06-13T00:00:00"/>
    <s v="C002"/>
    <x v="2"/>
    <x v="3"/>
    <x v="1"/>
    <x v="5"/>
    <n v="350"/>
    <x v="4"/>
    <x v="0"/>
    <x v="15"/>
    <x v="423"/>
  </r>
  <r>
    <n v="1425"/>
    <d v="2024-04-16T00:00:00"/>
    <s v="C003"/>
    <x v="0"/>
    <x v="0"/>
    <x v="1"/>
    <x v="8"/>
    <n v="500"/>
    <x v="3"/>
    <x v="1"/>
    <x v="76"/>
    <x v="424"/>
  </r>
  <r>
    <n v="1426"/>
    <d v="2024-03-06T00:00:00"/>
    <s v="C006"/>
    <x v="6"/>
    <x v="0"/>
    <x v="2"/>
    <x v="6"/>
    <n v="7500"/>
    <x v="0"/>
    <x v="1"/>
    <x v="50"/>
    <x v="425"/>
  </r>
  <r>
    <n v="1427"/>
    <d v="2024-01-26T00:00:00"/>
    <s v="C007"/>
    <x v="10"/>
    <x v="3"/>
    <x v="1"/>
    <x v="5"/>
    <n v="350"/>
    <x v="4"/>
    <x v="1"/>
    <x v="106"/>
    <x v="426"/>
  </r>
  <r>
    <n v="1428"/>
    <d v="2024-03-17T00:00:00"/>
    <s v="C009"/>
    <x v="3"/>
    <x v="1"/>
    <x v="0"/>
    <x v="0"/>
    <n v="3000"/>
    <x v="0"/>
    <x v="3"/>
    <x v="159"/>
    <x v="427"/>
  </r>
  <r>
    <n v="1429"/>
    <d v="2024-02-20T00:00:00"/>
    <s v="C002"/>
    <x v="2"/>
    <x v="2"/>
    <x v="0"/>
    <x v="4"/>
    <n v="55000"/>
    <x v="3"/>
    <x v="2"/>
    <x v="132"/>
    <x v="428"/>
  </r>
  <r>
    <n v="1430"/>
    <d v="2024-04-13T00:00:00"/>
    <s v="C009"/>
    <x v="3"/>
    <x v="2"/>
    <x v="0"/>
    <x v="2"/>
    <n v="22000"/>
    <x v="2"/>
    <x v="3"/>
    <x v="7"/>
    <x v="429"/>
  </r>
  <r>
    <n v="1431"/>
    <d v="2024-03-06T00:00:00"/>
    <s v="C010"/>
    <x v="11"/>
    <x v="1"/>
    <x v="2"/>
    <x v="3"/>
    <n v="9500"/>
    <x v="1"/>
    <x v="3"/>
    <x v="11"/>
    <x v="430"/>
  </r>
  <r>
    <n v="1432"/>
    <d v="2024-01-20T00:00:00"/>
    <s v="C005"/>
    <x v="5"/>
    <x v="1"/>
    <x v="0"/>
    <x v="0"/>
    <n v="3000"/>
    <x v="2"/>
    <x v="0"/>
    <x v="111"/>
    <x v="431"/>
  </r>
  <r>
    <n v="1433"/>
    <d v="2024-01-02T00:00:00"/>
    <s v="C009"/>
    <x v="3"/>
    <x v="3"/>
    <x v="0"/>
    <x v="0"/>
    <n v="3000"/>
    <x v="0"/>
    <x v="1"/>
    <x v="43"/>
    <x v="432"/>
  </r>
  <r>
    <n v="1434"/>
    <d v="2024-06-09T00:00:00"/>
    <s v="C006"/>
    <x v="6"/>
    <x v="1"/>
    <x v="0"/>
    <x v="2"/>
    <n v="22000"/>
    <x v="0"/>
    <x v="3"/>
    <x v="126"/>
    <x v="433"/>
  </r>
  <r>
    <n v="1435"/>
    <d v="2024-05-22T00:00:00"/>
    <s v="C012"/>
    <x v="7"/>
    <x v="2"/>
    <x v="1"/>
    <x v="8"/>
    <n v="500"/>
    <x v="2"/>
    <x v="2"/>
    <x v="143"/>
    <x v="434"/>
  </r>
  <r>
    <n v="1436"/>
    <d v="2024-05-19T00:00:00"/>
    <s v="C001"/>
    <x v="1"/>
    <x v="1"/>
    <x v="1"/>
    <x v="8"/>
    <n v="500"/>
    <x v="4"/>
    <x v="0"/>
    <x v="52"/>
    <x v="435"/>
  </r>
  <r>
    <n v="1437"/>
    <d v="2024-02-23T00:00:00"/>
    <s v="C009"/>
    <x v="3"/>
    <x v="1"/>
    <x v="2"/>
    <x v="9"/>
    <n v="12000"/>
    <x v="1"/>
    <x v="3"/>
    <x v="35"/>
    <x v="436"/>
  </r>
  <r>
    <n v="1438"/>
    <d v="2024-06-28T00:00:00"/>
    <s v="C006"/>
    <x v="6"/>
    <x v="1"/>
    <x v="0"/>
    <x v="4"/>
    <n v="55000"/>
    <x v="0"/>
    <x v="2"/>
    <x v="123"/>
    <x v="437"/>
  </r>
  <r>
    <n v="1439"/>
    <d v="2024-04-28T00:00:00"/>
    <s v="C003"/>
    <x v="0"/>
    <x v="0"/>
    <x v="0"/>
    <x v="4"/>
    <n v="55000"/>
    <x v="4"/>
    <x v="3"/>
    <x v="54"/>
    <x v="438"/>
  </r>
  <r>
    <n v="1440"/>
    <d v="2024-01-29T00:00:00"/>
    <s v="C012"/>
    <x v="7"/>
    <x v="0"/>
    <x v="0"/>
    <x v="7"/>
    <n v="18000"/>
    <x v="2"/>
    <x v="1"/>
    <x v="63"/>
    <x v="439"/>
  </r>
  <r>
    <n v="1441"/>
    <d v="2024-05-29T00:00:00"/>
    <s v="C007"/>
    <x v="10"/>
    <x v="2"/>
    <x v="1"/>
    <x v="8"/>
    <n v="500"/>
    <x v="4"/>
    <x v="1"/>
    <x v="82"/>
    <x v="440"/>
  </r>
  <r>
    <n v="1442"/>
    <d v="2024-01-06T00:00:00"/>
    <s v="C002"/>
    <x v="2"/>
    <x v="2"/>
    <x v="0"/>
    <x v="2"/>
    <n v="22000"/>
    <x v="2"/>
    <x v="2"/>
    <x v="24"/>
    <x v="441"/>
  </r>
  <r>
    <n v="1443"/>
    <d v="2024-02-13T00:00:00"/>
    <s v="C006"/>
    <x v="6"/>
    <x v="3"/>
    <x v="1"/>
    <x v="1"/>
    <n v="200"/>
    <x v="1"/>
    <x v="3"/>
    <x v="64"/>
    <x v="442"/>
  </r>
  <r>
    <n v="1444"/>
    <d v="2024-04-13T00:00:00"/>
    <s v="C011"/>
    <x v="4"/>
    <x v="1"/>
    <x v="0"/>
    <x v="0"/>
    <n v="3000"/>
    <x v="3"/>
    <x v="1"/>
    <x v="72"/>
    <x v="443"/>
  </r>
  <r>
    <n v="1445"/>
    <d v="2024-02-25T00:00:00"/>
    <s v="C006"/>
    <x v="6"/>
    <x v="1"/>
    <x v="2"/>
    <x v="9"/>
    <n v="12000"/>
    <x v="0"/>
    <x v="3"/>
    <x v="74"/>
    <x v="444"/>
  </r>
  <r>
    <n v="1446"/>
    <d v="2024-06-12T00:00:00"/>
    <s v="C011"/>
    <x v="4"/>
    <x v="3"/>
    <x v="1"/>
    <x v="1"/>
    <n v="200"/>
    <x v="2"/>
    <x v="3"/>
    <x v="131"/>
    <x v="445"/>
  </r>
  <r>
    <n v="1447"/>
    <d v="2024-01-25T00:00:00"/>
    <s v="C012"/>
    <x v="7"/>
    <x v="0"/>
    <x v="2"/>
    <x v="3"/>
    <n v="9500"/>
    <x v="2"/>
    <x v="3"/>
    <x v="160"/>
    <x v="446"/>
  </r>
  <r>
    <n v="1448"/>
    <d v="2024-06-04T00:00:00"/>
    <s v="C009"/>
    <x v="3"/>
    <x v="1"/>
    <x v="1"/>
    <x v="8"/>
    <n v="500"/>
    <x v="1"/>
    <x v="2"/>
    <x v="37"/>
    <x v="447"/>
  </r>
  <r>
    <n v="1449"/>
    <d v="2024-02-13T00:00:00"/>
    <s v="C008"/>
    <x v="9"/>
    <x v="3"/>
    <x v="0"/>
    <x v="0"/>
    <n v="3000"/>
    <x v="1"/>
    <x v="2"/>
    <x v="69"/>
    <x v="448"/>
  </r>
  <r>
    <n v="1450"/>
    <d v="2024-01-26T00:00:00"/>
    <s v="C005"/>
    <x v="5"/>
    <x v="3"/>
    <x v="0"/>
    <x v="7"/>
    <n v="18000"/>
    <x v="3"/>
    <x v="0"/>
    <x v="59"/>
    <x v="449"/>
  </r>
  <r>
    <n v="1451"/>
    <d v="2024-02-26T00:00:00"/>
    <s v="C010"/>
    <x v="11"/>
    <x v="3"/>
    <x v="2"/>
    <x v="3"/>
    <n v="9500"/>
    <x v="1"/>
    <x v="2"/>
    <x v="31"/>
    <x v="450"/>
  </r>
  <r>
    <n v="1452"/>
    <d v="2024-01-19T00:00:00"/>
    <s v="C009"/>
    <x v="3"/>
    <x v="2"/>
    <x v="0"/>
    <x v="7"/>
    <n v="18000"/>
    <x v="1"/>
    <x v="1"/>
    <x v="137"/>
    <x v="451"/>
  </r>
  <r>
    <n v="1453"/>
    <d v="2024-01-11T00:00:00"/>
    <s v="C006"/>
    <x v="6"/>
    <x v="2"/>
    <x v="0"/>
    <x v="2"/>
    <n v="22000"/>
    <x v="4"/>
    <x v="1"/>
    <x v="125"/>
    <x v="452"/>
  </r>
  <r>
    <n v="1454"/>
    <d v="2024-01-18T00:00:00"/>
    <s v="C003"/>
    <x v="0"/>
    <x v="0"/>
    <x v="2"/>
    <x v="3"/>
    <n v="9500"/>
    <x v="0"/>
    <x v="2"/>
    <x v="112"/>
    <x v="453"/>
  </r>
  <r>
    <n v="1455"/>
    <d v="2024-03-09T00:00:00"/>
    <s v="C002"/>
    <x v="2"/>
    <x v="2"/>
    <x v="0"/>
    <x v="2"/>
    <n v="22000"/>
    <x v="4"/>
    <x v="2"/>
    <x v="142"/>
    <x v="454"/>
  </r>
  <r>
    <n v="1456"/>
    <d v="2024-04-02T00:00:00"/>
    <s v="C003"/>
    <x v="0"/>
    <x v="0"/>
    <x v="0"/>
    <x v="4"/>
    <n v="55000"/>
    <x v="0"/>
    <x v="0"/>
    <x v="121"/>
    <x v="455"/>
  </r>
  <r>
    <n v="1457"/>
    <d v="2024-04-28T00:00:00"/>
    <s v="C003"/>
    <x v="0"/>
    <x v="3"/>
    <x v="0"/>
    <x v="2"/>
    <n v="22000"/>
    <x v="4"/>
    <x v="0"/>
    <x v="138"/>
    <x v="456"/>
  </r>
  <r>
    <n v="1458"/>
    <d v="2024-04-03T00:00:00"/>
    <s v="C001"/>
    <x v="1"/>
    <x v="2"/>
    <x v="0"/>
    <x v="7"/>
    <n v="18000"/>
    <x v="3"/>
    <x v="0"/>
    <x v="59"/>
    <x v="457"/>
  </r>
  <r>
    <n v="1459"/>
    <d v="2024-04-12T00:00:00"/>
    <s v="C006"/>
    <x v="6"/>
    <x v="0"/>
    <x v="0"/>
    <x v="4"/>
    <n v="55000"/>
    <x v="0"/>
    <x v="3"/>
    <x v="91"/>
    <x v="458"/>
  </r>
  <r>
    <n v="1460"/>
    <d v="2024-04-28T00:00:00"/>
    <s v="C006"/>
    <x v="6"/>
    <x v="1"/>
    <x v="2"/>
    <x v="9"/>
    <n v="12000"/>
    <x v="4"/>
    <x v="0"/>
    <x v="99"/>
    <x v="459"/>
  </r>
  <r>
    <n v="1461"/>
    <d v="2024-02-29T00:00:00"/>
    <s v="C008"/>
    <x v="9"/>
    <x v="1"/>
    <x v="2"/>
    <x v="6"/>
    <n v="7500"/>
    <x v="2"/>
    <x v="3"/>
    <x v="18"/>
    <x v="460"/>
  </r>
  <r>
    <n v="1462"/>
    <d v="2024-03-05T00:00:00"/>
    <s v="C007"/>
    <x v="10"/>
    <x v="2"/>
    <x v="1"/>
    <x v="1"/>
    <n v="200"/>
    <x v="4"/>
    <x v="1"/>
    <x v="21"/>
    <x v="461"/>
  </r>
  <r>
    <n v="1463"/>
    <d v="2024-05-14T00:00:00"/>
    <s v="C007"/>
    <x v="10"/>
    <x v="2"/>
    <x v="0"/>
    <x v="4"/>
    <n v="55000"/>
    <x v="2"/>
    <x v="1"/>
    <x v="3"/>
    <x v="462"/>
  </r>
  <r>
    <n v="1464"/>
    <d v="2024-04-18T00:00:00"/>
    <s v="C006"/>
    <x v="6"/>
    <x v="2"/>
    <x v="1"/>
    <x v="8"/>
    <n v="500"/>
    <x v="4"/>
    <x v="0"/>
    <x v="52"/>
    <x v="463"/>
  </r>
  <r>
    <n v="1465"/>
    <d v="2024-02-02T00:00:00"/>
    <s v="C010"/>
    <x v="11"/>
    <x v="0"/>
    <x v="0"/>
    <x v="2"/>
    <n v="22000"/>
    <x v="1"/>
    <x v="1"/>
    <x v="3"/>
    <x v="464"/>
  </r>
  <r>
    <n v="1466"/>
    <d v="2024-02-19T00:00:00"/>
    <s v="C009"/>
    <x v="3"/>
    <x v="0"/>
    <x v="0"/>
    <x v="7"/>
    <n v="18000"/>
    <x v="0"/>
    <x v="3"/>
    <x v="16"/>
    <x v="465"/>
  </r>
  <r>
    <n v="1467"/>
    <d v="2024-04-19T00:00:00"/>
    <s v="C005"/>
    <x v="5"/>
    <x v="2"/>
    <x v="0"/>
    <x v="7"/>
    <n v="18000"/>
    <x v="1"/>
    <x v="3"/>
    <x v="92"/>
    <x v="466"/>
  </r>
  <r>
    <n v="1468"/>
    <d v="2024-06-19T00:00:00"/>
    <s v="C007"/>
    <x v="10"/>
    <x v="2"/>
    <x v="2"/>
    <x v="6"/>
    <n v="7500"/>
    <x v="4"/>
    <x v="1"/>
    <x v="77"/>
    <x v="467"/>
  </r>
  <r>
    <n v="1469"/>
    <d v="2024-05-12T00:00:00"/>
    <s v="C004"/>
    <x v="8"/>
    <x v="1"/>
    <x v="1"/>
    <x v="1"/>
    <n v="200"/>
    <x v="1"/>
    <x v="2"/>
    <x v="143"/>
    <x v="468"/>
  </r>
  <r>
    <n v="1470"/>
    <d v="2024-06-22T00:00:00"/>
    <s v="C009"/>
    <x v="3"/>
    <x v="1"/>
    <x v="2"/>
    <x v="9"/>
    <n v="12000"/>
    <x v="3"/>
    <x v="3"/>
    <x v="58"/>
    <x v="469"/>
  </r>
  <r>
    <n v="1471"/>
    <d v="2024-02-20T00:00:00"/>
    <s v="C011"/>
    <x v="4"/>
    <x v="0"/>
    <x v="2"/>
    <x v="3"/>
    <n v="9500"/>
    <x v="3"/>
    <x v="3"/>
    <x v="61"/>
    <x v="470"/>
  </r>
  <r>
    <n v="1472"/>
    <d v="2024-05-06T00:00:00"/>
    <s v="C001"/>
    <x v="1"/>
    <x v="0"/>
    <x v="1"/>
    <x v="8"/>
    <n v="500"/>
    <x v="0"/>
    <x v="1"/>
    <x v="60"/>
    <x v="471"/>
  </r>
  <r>
    <n v="1473"/>
    <d v="2024-01-31T00:00:00"/>
    <s v="C009"/>
    <x v="3"/>
    <x v="3"/>
    <x v="1"/>
    <x v="5"/>
    <n v="350"/>
    <x v="3"/>
    <x v="2"/>
    <x v="145"/>
    <x v="472"/>
  </r>
  <r>
    <n v="1474"/>
    <d v="2024-05-31T00:00:00"/>
    <s v="C003"/>
    <x v="0"/>
    <x v="2"/>
    <x v="0"/>
    <x v="0"/>
    <n v="3000"/>
    <x v="0"/>
    <x v="2"/>
    <x v="114"/>
    <x v="473"/>
  </r>
  <r>
    <n v="1475"/>
    <d v="2024-06-29T00:00:00"/>
    <s v="C002"/>
    <x v="2"/>
    <x v="2"/>
    <x v="0"/>
    <x v="2"/>
    <n v="22000"/>
    <x v="4"/>
    <x v="3"/>
    <x v="101"/>
    <x v="474"/>
  </r>
  <r>
    <n v="1476"/>
    <d v="2024-02-14T00:00:00"/>
    <s v="C005"/>
    <x v="5"/>
    <x v="2"/>
    <x v="2"/>
    <x v="9"/>
    <n v="12000"/>
    <x v="0"/>
    <x v="2"/>
    <x v="44"/>
    <x v="475"/>
  </r>
  <r>
    <n v="1477"/>
    <d v="2024-04-30T00:00:00"/>
    <s v="C003"/>
    <x v="0"/>
    <x v="0"/>
    <x v="0"/>
    <x v="4"/>
    <n v="55000"/>
    <x v="0"/>
    <x v="2"/>
    <x v="123"/>
    <x v="476"/>
  </r>
  <r>
    <n v="1478"/>
    <d v="2024-04-14T00:00:00"/>
    <s v="C012"/>
    <x v="7"/>
    <x v="1"/>
    <x v="1"/>
    <x v="5"/>
    <n v="350"/>
    <x v="0"/>
    <x v="1"/>
    <x v="10"/>
    <x v="477"/>
  </r>
  <r>
    <n v="1479"/>
    <d v="2024-06-12T00:00:00"/>
    <s v="C002"/>
    <x v="2"/>
    <x v="3"/>
    <x v="2"/>
    <x v="9"/>
    <n v="12000"/>
    <x v="1"/>
    <x v="3"/>
    <x v="35"/>
    <x v="478"/>
  </r>
  <r>
    <n v="1480"/>
    <d v="2024-05-26T00:00:00"/>
    <s v="C005"/>
    <x v="5"/>
    <x v="2"/>
    <x v="0"/>
    <x v="7"/>
    <n v="18000"/>
    <x v="1"/>
    <x v="2"/>
    <x v="120"/>
    <x v="479"/>
  </r>
  <r>
    <n v="1481"/>
    <d v="2024-01-06T00:00:00"/>
    <s v="C002"/>
    <x v="2"/>
    <x v="3"/>
    <x v="1"/>
    <x v="5"/>
    <n v="350"/>
    <x v="3"/>
    <x v="2"/>
    <x v="145"/>
    <x v="480"/>
  </r>
  <r>
    <n v="1482"/>
    <d v="2024-05-18T00:00:00"/>
    <s v="C009"/>
    <x v="3"/>
    <x v="3"/>
    <x v="2"/>
    <x v="3"/>
    <n v="9500"/>
    <x v="0"/>
    <x v="2"/>
    <x v="112"/>
    <x v="481"/>
  </r>
  <r>
    <n v="1483"/>
    <d v="2024-02-12T00:00:00"/>
    <s v="C010"/>
    <x v="11"/>
    <x v="1"/>
    <x v="1"/>
    <x v="8"/>
    <n v="500"/>
    <x v="0"/>
    <x v="2"/>
    <x v="94"/>
    <x v="482"/>
  </r>
  <r>
    <n v="1484"/>
    <d v="2024-02-26T00:00:00"/>
    <s v="C010"/>
    <x v="11"/>
    <x v="1"/>
    <x v="1"/>
    <x v="5"/>
    <n v="350"/>
    <x v="0"/>
    <x v="2"/>
    <x v="161"/>
    <x v="483"/>
  </r>
  <r>
    <n v="1485"/>
    <d v="2024-05-05T00:00:00"/>
    <s v="C006"/>
    <x v="6"/>
    <x v="3"/>
    <x v="0"/>
    <x v="4"/>
    <n v="55000"/>
    <x v="4"/>
    <x v="3"/>
    <x v="54"/>
    <x v="484"/>
  </r>
  <r>
    <n v="1486"/>
    <d v="2024-02-21T00:00:00"/>
    <s v="C001"/>
    <x v="1"/>
    <x v="1"/>
    <x v="2"/>
    <x v="3"/>
    <n v="9500"/>
    <x v="0"/>
    <x v="0"/>
    <x v="87"/>
    <x v="485"/>
  </r>
  <r>
    <n v="1487"/>
    <d v="2024-02-22T00:00:00"/>
    <s v="C010"/>
    <x v="11"/>
    <x v="3"/>
    <x v="2"/>
    <x v="6"/>
    <n v="7500"/>
    <x v="3"/>
    <x v="2"/>
    <x v="14"/>
    <x v="486"/>
  </r>
  <r>
    <n v="1488"/>
    <d v="2024-04-29T00:00:00"/>
    <s v="C006"/>
    <x v="6"/>
    <x v="2"/>
    <x v="0"/>
    <x v="0"/>
    <n v="3000"/>
    <x v="4"/>
    <x v="3"/>
    <x v="74"/>
    <x v="487"/>
  </r>
  <r>
    <n v="1489"/>
    <d v="2024-06-04T00:00:00"/>
    <s v="C011"/>
    <x v="4"/>
    <x v="2"/>
    <x v="2"/>
    <x v="9"/>
    <n v="12000"/>
    <x v="0"/>
    <x v="0"/>
    <x v="119"/>
    <x v="488"/>
  </r>
  <r>
    <n v="1490"/>
    <d v="2024-05-24T00:00:00"/>
    <s v="C010"/>
    <x v="11"/>
    <x v="0"/>
    <x v="2"/>
    <x v="9"/>
    <n v="12000"/>
    <x v="1"/>
    <x v="1"/>
    <x v="62"/>
    <x v="489"/>
  </r>
  <r>
    <n v="1491"/>
    <d v="2024-04-09T00:00:00"/>
    <s v="C012"/>
    <x v="7"/>
    <x v="2"/>
    <x v="2"/>
    <x v="9"/>
    <n v="12000"/>
    <x v="2"/>
    <x v="0"/>
    <x v="96"/>
    <x v="490"/>
  </r>
  <r>
    <n v="1492"/>
    <d v="2024-02-15T00:00:00"/>
    <s v="C007"/>
    <x v="10"/>
    <x v="0"/>
    <x v="1"/>
    <x v="1"/>
    <n v="200"/>
    <x v="1"/>
    <x v="2"/>
    <x v="143"/>
    <x v="491"/>
  </r>
  <r>
    <n v="1493"/>
    <d v="2024-02-18T00:00:00"/>
    <s v="C009"/>
    <x v="3"/>
    <x v="1"/>
    <x v="0"/>
    <x v="0"/>
    <n v="3000"/>
    <x v="2"/>
    <x v="2"/>
    <x v="78"/>
    <x v="492"/>
  </r>
  <r>
    <n v="1494"/>
    <d v="2024-04-30T00:00:00"/>
    <s v="C012"/>
    <x v="7"/>
    <x v="0"/>
    <x v="1"/>
    <x v="5"/>
    <n v="350"/>
    <x v="2"/>
    <x v="1"/>
    <x v="162"/>
    <x v="493"/>
  </r>
  <r>
    <n v="1495"/>
    <d v="2024-02-24T00:00:00"/>
    <s v="C010"/>
    <x v="11"/>
    <x v="3"/>
    <x v="0"/>
    <x v="4"/>
    <n v="55000"/>
    <x v="3"/>
    <x v="2"/>
    <x v="132"/>
    <x v="494"/>
  </r>
  <r>
    <n v="1496"/>
    <d v="2024-02-21T00:00:00"/>
    <s v="C008"/>
    <x v="9"/>
    <x v="3"/>
    <x v="0"/>
    <x v="4"/>
    <n v="55000"/>
    <x v="0"/>
    <x v="1"/>
    <x v="81"/>
    <x v="495"/>
  </r>
  <r>
    <n v="1497"/>
    <d v="2024-03-18T00:00:00"/>
    <s v="C005"/>
    <x v="5"/>
    <x v="0"/>
    <x v="2"/>
    <x v="6"/>
    <n v="7500"/>
    <x v="0"/>
    <x v="3"/>
    <x v="36"/>
    <x v="496"/>
  </r>
  <r>
    <n v="1498"/>
    <d v="2024-01-31T00:00:00"/>
    <s v="C007"/>
    <x v="10"/>
    <x v="2"/>
    <x v="2"/>
    <x v="9"/>
    <n v="12000"/>
    <x v="0"/>
    <x v="0"/>
    <x v="119"/>
    <x v="497"/>
  </r>
  <r>
    <n v="1499"/>
    <d v="2024-06-12T00:00:00"/>
    <s v="C004"/>
    <x v="8"/>
    <x v="3"/>
    <x v="1"/>
    <x v="8"/>
    <n v="500"/>
    <x v="1"/>
    <x v="1"/>
    <x v="110"/>
    <x v="498"/>
  </r>
  <r>
    <n v="1500"/>
    <d v="2024-05-29T00:00:00"/>
    <s v="C010"/>
    <x v="11"/>
    <x v="1"/>
    <x v="2"/>
    <x v="9"/>
    <n v="12000"/>
    <x v="2"/>
    <x v="0"/>
    <x v="96"/>
    <x v="4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d v="2024-01-10T00:00:00"/>
    <s v="C003"/>
    <s v="Rohit Singh"/>
    <x v="0"/>
    <x v="0"/>
    <x v="0"/>
    <n v="3000"/>
    <n v="1"/>
    <n v="0.1"/>
    <x v="0"/>
    <n v="656.26"/>
    <d v="2025-12-19T18:29:06"/>
    <x v="0"/>
  </r>
  <r>
    <n v="1002"/>
    <d v="2024-05-10T00:00:00"/>
    <s v="C001"/>
    <s v="Amit Sharma"/>
    <x v="1"/>
    <x v="1"/>
    <x v="1"/>
    <n v="200"/>
    <n v="5"/>
    <n v="0"/>
    <x v="1"/>
    <n v="219.31"/>
    <d v="2025-12-19T18:29:06"/>
    <x v="1"/>
  </r>
  <r>
    <n v="1003"/>
    <d v="2024-05-20T00:00:00"/>
    <s v="C002"/>
    <s v="Neha Verma"/>
    <x v="1"/>
    <x v="1"/>
    <x v="1"/>
    <n v="200"/>
    <n v="5"/>
    <n v="0.1"/>
    <x v="2"/>
    <n v="162.36000000000001"/>
    <d v="2025-12-19T18:29:06"/>
    <x v="1"/>
  </r>
  <r>
    <n v="1004"/>
    <d v="2024-02-06T00:00:00"/>
    <s v="C001"/>
    <s v="Amit Sharma"/>
    <x v="1"/>
    <x v="0"/>
    <x v="2"/>
    <n v="22000"/>
    <n v="5"/>
    <n v="0"/>
    <x v="3"/>
    <n v="26492.35"/>
    <d v="2025-12-19T18:29:06"/>
    <x v="2"/>
  </r>
  <r>
    <n v="1005"/>
    <d v="2024-04-25T00:00:00"/>
    <s v="C009"/>
    <s v="Vikas Gupta"/>
    <x v="0"/>
    <x v="1"/>
    <x v="1"/>
    <n v="200"/>
    <n v="1"/>
    <n v="0"/>
    <x v="4"/>
    <n v="40.380000000000003"/>
    <d v="2025-12-19T18:29:06"/>
    <x v="3"/>
  </r>
  <r>
    <n v="1006"/>
    <d v="2024-02-05T00:00:00"/>
    <s v="C011"/>
    <s v="Rahul Khanna"/>
    <x v="2"/>
    <x v="0"/>
    <x v="0"/>
    <n v="3000"/>
    <n v="2"/>
    <n v="0"/>
    <x v="5"/>
    <n v="1747.6"/>
    <d v="2025-12-19T18:29:06"/>
    <x v="2"/>
  </r>
  <r>
    <n v="1007"/>
    <d v="2024-01-02T00:00:00"/>
    <s v="C005"/>
    <s v="Karan Mehta"/>
    <x v="3"/>
    <x v="2"/>
    <x v="3"/>
    <n v="9500"/>
    <n v="2"/>
    <n v="0.05"/>
    <x v="6"/>
    <n v="5975.86"/>
    <d v="2025-12-19T18:29:06"/>
    <x v="0"/>
  </r>
  <r>
    <n v="1008"/>
    <d v="2024-02-21T00:00:00"/>
    <s v="C003"/>
    <s v="Rohit Singh"/>
    <x v="2"/>
    <x v="0"/>
    <x v="2"/>
    <n v="22000"/>
    <n v="2"/>
    <n v="0.15"/>
    <x v="7"/>
    <n v="12614.18"/>
    <d v="2025-12-19T18:29:06"/>
    <x v="2"/>
  </r>
  <r>
    <n v="1009"/>
    <d v="2024-01-08T00:00:00"/>
    <s v="C003"/>
    <s v="Rohit Singh"/>
    <x v="2"/>
    <x v="0"/>
    <x v="4"/>
    <n v="55000"/>
    <n v="2"/>
    <n v="0.15"/>
    <x v="8"/>
    <n v="23929.83"/>
    <d v="2025-12-19T18:29:06"/>
    <x v="0"/>
  </r>
  <r>
    <n v="1010"/>
    <d v="2024-01-22T00:00:00"/>
    <s v="C006"/>
    <s v="Sneha Iyer"/>
    <x v="1"/>
    <x v="1"/>
    <x v="5"/>
    <n v="350"/>
    <n v="5"/>
    <n v="0.05"/>
    <x v="9"/>
    <n v="537.61"/>
    <d v="2025-12-19T18:29:06"/>
    <x v="0"/>
  </r>
  <r>
    <n v="1011"/>
    <d v="2024-03-24T00:00:00"/>
    <s v="C003"/>
    <s v="Rohit Singh"/>
    <x v="3"/>
    <x v="1"/>
    <x v="5"/>
    <n v="350"/>
    <n v="1"/>
    <n v="0"/>
    <x v="10"/>
    <n v="53.2"/>
    <d v="2025-12-19T18:29:06"/>
    <x v="4"/>
  </r>
  <r>
    <n v="1012"/>
    <d v="2024-05-18T00:00:00"/>
    <s v="C012"/>
    <s v="Simran Kaur"/>
    <x v="0"/>
    <x v="2"/>
    <x v="3"/>
    <n v="9500"/>
    <n v="5"/>
    <n v="0.15"/>
    <x v="11"/>
    <n v="9799.0300000000007"/>
    <d v="2025-12-19T18:29:06"/>
    <x v="1"/>
  </r>
  <r>
    <n v="1013"/>
    <d v="2024-03-03T00:00:00"/>
    <s v="C004"/>
    <s v="Priya Patel"/>
    <x v="2"/>
    <x v="1"/>
    <x v="1"/>
    <n v="200"/>
    <n v="3"/>
    <n v="0.1"/>
    <x v="12"/>
    <n v="112.78"/>
    <d v="2025-12-19T18:29:06"/>
    <x v="4"/>
  </r>
  <r>
    <n v="1014"/>
    <d v="2024-02-22T00:00:00"/>
    <s v="C009"/>
    <s v="Vikas Gupta"/>
    <x v="0"/>
    <x v="1"/>
    <x v="5"/>
    <n v="350"/>
    <n v="1"/>
    <n v="0.15"/>
    <x v="13"/>
    <n v="52.94"/>
    <d v="2025-12-19T18:29:06"/>
    <x v="2"/>
  </r>
  <r>
    <n v="1015"/>
    <d v="2024-05-28T00:00:00"/>
    <s v="C003"/>
    <s v="Rohit Singh"/>
    <x v="0"/>
    <x v="2"/>
    <x v="6"/>
    <n v="7500"/>
    <n v="3"/>
    <n v="0.05"/>
    <x v="14"/>
    <n v="6436.55"/>
    <d v="2025-12-19T18:29:06"/>
    <x v="1"/>
  </r>
  <r>
    <n v="1016"/>
    <d v="2024-01-22T00:00:00"/>
    <s v="C011"/>
    <s v="Rahul Khanna"/>
    <x v="2"/>
    <x v="1"/>
    <x v="5"/>
    <n v="350"/>
    <n v="4"/>
    <n v="0.1"/>
    <x v="15"/>
    <n v="189.91"/>
    <d v="2025-12-19T18:29:06"/>
    <x v="0"/>
  </r>
  <r>
    <n v="1017"/>
    <d v="2024-04-15T00:00:00"/>
    <s v="C009"/>
    <s v="Vikas Gupta"/>
    <x v="3"/>
    <x v="0"/>
    <x v="7"/>
    <n v="18000"/>
    <n v="1"/>
    <n v="0.15"/>
    <x v="16"/>
    <n v="3904.64"/>
    <d v="2025-12-19T18:29:06"/>
    <x v="3"/>
  </r>
  <r>
    <n v="1018"/>
    <d v="2024-06-22T00:00:00"/>
    <s v="C002"/>
    <s v="Neha Verma"/>
    <x v="1"/>
    <x v="0"/>
    <x v="2"/>
    <n v="22000"/>
    <n v="5"/>
    <n v="0"/>
    <x v="3"/>
    <n v="22753"/>
    <d v="2025-12-19T18:29:06"/>
    <x v="5"/>
  </r>
  <r>
    <n v="1019"/>
    <d v="2024-03-06T00:00:00"/>
    <s v="C009"/>
    <s v="Vikas Gupta"/>
    <x v="1"/>
    <x v="1"/>
    <x v="8"/>
    <n v="500"/>
    <n v="4"/>
    <n v="0.05"/>
    <x v="17"/>
    <n v="473.06"/>
    <d v="2025-12-19T18:29:06"/>
    <x v="4"/>
  </r>
  <r>
    <n v="1020"/>
    <d v="2024-02-07T00:00:00"/>
    <s v="C001"/>
    <s v="Amit Sharma"/>
    <x v="1"/>
    <x v="2"/>
    <x v="6"/>
    <n v="7500"/>
    <n v="2"/>
    <n v="0.15"/>
    <x v="18"/>
    <n v="4404.8900000000003"/>
    <d v="2025-12-19T18:29:06"/>
    <x v="2"/>
  </r>
  <r>
    <n v="1021"/>
    <d v="2024-05-12T00:00:00"/>
    <s v="C011"/>
    <s v="Rahul Khanna"/>
    <x v="0"/>
    <x v="1"/>
    <x v="8"/>
    <n v="500"/>
    <n v="1"/>
    <n v="0.1"/>
    <x v="19"/>
    <n v="102.93"/>
    <d v="2025-12-19T18:29:06"/>
    <x v="1"/>
  </r>
  <r>
    <n v="1022"/>
    <d v="2024-03-05T00:00:00"/>
    <s v="C006"/>
    <s v="Sneha Iyer"/>
    <x v="3"/>
    <x v="0"/>
    <x v="2"/>
    <n v="22000"/>
    <n v="5"/>
    <n v="0.05"/>
    <x v="20"/>
    <n v="29530.76"/>
    <d v="2025-12-19T18:29:06"/>
    <x v="4"/>
  </r>
  <r>
    <n v="1023"/>
    <d v="2024-05-25T00:00:00"/>
    <s v="C003"/>
    <s v="Rohit Singh"/>
    <x v="3"/>
    <x v="1"/>
    <x v="1"/>
    <n v="200"/>
    <n v="4"/>
    <n v="0"/>
    <x v="21"/>
    <n v="225.45"/>
    <d v="2025-12-19T18:29:06"/>
    <x v="1"/>
  </r>
  <r>
    <n v="1024"/>
    <d v="2024-02-03T00:00:00"/>
    <s v="C006"/>
    <s v="Sneha Iyer"/>
    <x v="1"/>
    <x v="1"/>
    <x v="1"/>
    <n v="200"/>
    <n v="2"/>
    <n v="0.05"/>
    <x v="22"/>
    <n v="77.28"/>
    <d v="2025-12-19T18:29:06"/>
    <x v="2"/>
  </r>
  <r>
    <n v="1025"/>
    <d v="2024-06-15T00:00:00"/>
    <s v="C008"/>
    <s v="Pooja Nair"/>
    <x v="1"/>
    <x v="1"/>
    <x v="5"/>
    <n v="350"/>
    <n v="3"/>
    <n v="0"/>
    <x v="23"/>
    <n v="233.66"/>
    <d v="2025-12-19T18:29:06"/>
    <x v="5"/>
  </r>
  <r>
    <n v="1026"/>
    <d v="2024-03-14T00:00:00"/>
    <s v="C001"/>
    <s v="Amit Sharma"/>
    <x v="1"/>
    <x v="1"/>
    <x v="5"/>
    <n v="350"/>
    <n v="1"/>
    <n v="0.15"/>
    <x v="13"/>
    <n v="90.84"/>
    <d v="2025-12-19T18:29:06"/>
    <x v="4"/>
  </r>
  <r>
    <n v="1027"/>
    <d v="2024-01-20T00:00:00"/>
    <s v="C009"/>
    <s v="Vikas Gupta"/>
    <x v="1"/>
    <x v="2"/>
    <x v="3"/>
    <n v="9500"/>
    <n v="5"/>
    <n v="0.15"/>
    <x v="11"/>
    <n v="8212.7000000000007"/>
    <d v="2025-12-19T18:29:06"/>
    <x v="0"/>
  </r>
  <r>
    <n v="1028"/>
    <d v="2024-03-11T00:00:00"/>
    <s v="C009"/>
    <s v="Vikas Gupta"/>
    <x v="1"/>
    <x v="0"/>
    <x v="4"/>
    <n v="55000"/>
    <n v="2"/>
    <n v="0.15"/>
    <x v="8"/>
    <n v="19639.66"/>
    <d v="2025-12-19T18:29:06"/>
    <x v="4"/>
  </r>
  <r>
    <n v="1029"/>
    <d v="2024-02-28T00:00:00"/>
    <s v="C006"/>
    <s v="Sneha Iyer"/>
    <x v="1"/>
    <x v="0"/>
    <x v="2"/>
    <n v="22000"/>
    <n v="2"/>
    <n v="0.05"/>
    <x v="24"/>
    <n v="7616.52"/>
    <d v="2025-12-19T18:29:06"/>
    <x v="2"/>
  </r>
  <r>
    <n v="1030"/>
    <d v="2024-06-23T00:00:00"/>
    <s v="C006"/>
    <s v="Sneha Iyer"/>
    <x v="3"/>
    <x v="1"/>
    <x v="5"/>
    <n v="350"/>
    <n v="2"/>
    <n v="0.1"/>
    <x v="25"/>
    <n v="200.36"/>
    <d v="2025-12-19T18:29:06"/>
    <x v="5"/>
  </r>
  <r>
    <n v="1031"/>
    <d v="2024-03-06T00:00:00"/>
    <s v="C007"/>
    <s v="Arjun Rao"/>
    <x v="3"/>
    <x v="2"/>
    <x v="3"/>
    <n v="9500"/>
    <n v="2"/>
    <n v="0.1"/>
    <x v="26"/>
    <n v="2983.59"/>
    <d v="2025-12-19T18:29:06"/>
    <x v="4"/>
  </r>
  <r>
    <n v="1032"/>
    <d v="2024-02-04T00:00:00"/>
    <s v="C004"/>
    <s v="Priya Patel"/>
    <x v="2"/>
    <x v="1"/>
    <x v="8"/>
    <n v="500"/>
    <n v="4"/>
    <n v="0.15"/>
    <x v="27"/>
    <n v="527.47"/>
    <d v="2025-12-19T18:29:06"/>
    <x v="2"/>
  </r>
  <r>
    <n v="1033"/>
    <d v="2024-06-12T00:00:00"/>
    <s v="C003"/>
    <s v="Rohit Singh"/>
    <x v="0"/>
    <x v="1"/>
    <x v="1"/>
    <n v="200"/>
    <n v="2"/>
    <n v="0.05"/>
    <x v="22"/>
    <n v="86.39"/>
    <d v="2025-12-19T18:29:06"/>
    <x v="5"/>
  </r>
  <r>
    <n v="1034"/>
    <d v="2024-01-13T00:00:00"/>
    <s v="C008"/>
    <s v="Pooja Nair"/>
    <x v="2"/>
    <x v="1"/>
    <x v="1"/>
    <n v="200"/>
    <n v="2"/>
    <n v="0.1"/>
    <x v="28"/>
    <n v="124.28"/>
    <d v="2025-12-19T18:29:06"/>
    <x v="0"/>
  </r>
  <r>
    <n v="1035"/>
    <d v="2024-01-27T00:00:00"/>
    <s v="C006"/>
    <s v="Sneha Iyer"/>
    <x v="0"/>
    <x v="1"/>
    <x v="1"/>
    <n v="200"/>
    <n v="5"/>
    <n v="0"/>
    <x v="1"/>
    <n v="249.69"/>
    <d v="2025-12-19T18:29:06"/>
    <x v="0"/>
  </r>
  <r>
    <n v="1036"/>
    <d v="2024-03-15T00:00:00"/>
    <s v="C012"/>
    <s v="Simran Kaur"/>
    <x v="3"/>
    <x v="1"/>
    <x v="5"/>
    <n v="350"/>
    <n v="3"/>
    <n v="0"/>
    <x v="23"/>
    <n v="364.27"/>
    <d v="2025-12-19T18:29:06"/>
    <x v="4"/>
  </r>
  <r>
    <n v="1037"/>
    <d v="2024-01-10T00:00:00"/>
    <s v="C004"/>
    <s v="Priya Patel"/>
    <x v="1"/>
    <x v="2"/>
    <x v="6"/>
    <n v="7500"/>
    <n v="4"/>
    <n v="0.15"/>
    <x v="29"/>
    <n v="7174.95"/>
    <d v="2025-12-19T18:29:06"/>
    <x v="0"/>
  </r>
  <r>
    <n v="1038"/>
    <d v="2024-06-17T00:00:00"/>
    <s v="C006"/>
    <s v="Sneha Iyer"/>
    <x v="3"/>
    <x v="0"/>
    <x v="7"/>
    <n v="18000"/>
    <n v="2"/>
    <n v="0.1"/>
    <x v="30"/>
    <n v="10343.65"/>
    <d v="2025-12-19T18:29:06"/>
    <x v="5"/>
  </r>
  <r>
    <n v="1039"/>
    <d v="2024-04-05T00:00:00"/>
    <s v="C009"/>
    <s v="Vikas Gupta"/>
    <x v="1"/>
    <x v="0"/>
    <x v="2"/>
    <n v="22000"/>
    <n v="2"/>
    <n v="0.05"/>
    <x v="24"/>
    <n v="8923.91"/>
    <d v="2025-12-19T18:29:06"/>
    <x v="3"/>
  </r>
  <r>
    <n v="1040"/>
    <d v="2024-05-15T00:00:00"/>
    <s v="C010"/>
    <s v="Anjali Das"/>
    <x v="3"/>
    <x v="0"/>
    <x v="4"/>
    <n v="55000"/>
    <n v="2"/>
    <n v="0.05"/>
    <x v="20"/>
    <n v="29615.68"/>
    <d v="2025-12-19T18:29:06"/>
    <x v="1"/>
  </r>
  <r>
    <n v="1041"/>
    <d v="2024-01-12T00:00:00"/>
    <s v="C004"/>
    <s v="Priya Patel"/>
    <x v="3"/>
    <x v="2"/>
    <x v="3"/>
    <n v="9500"/>
    <n v="5"/>
    <n v="0.05"/>
    <x v="31"/>
    <n v="12102"/>
    <d v="2025-12-19T18:29:06"/>
    <x v="0"/>
  </r>
  <r>
    <n v="1042"/>
    <d v="2024-01-23T00:00:00"/>
    <s v="C010"/>
    <s v="Anjali Das"/>
    <x v="0"/>
    <x v="0"/>
    <x v="2"/>
    <n v="22000"/>
    <n v="3"/>
    <n v="0.05"/>
    <x v="32"/>
    <n v="10901.35"/>
    <d v="2025-12-19T18:29:06"/>
    <x v="0"/>
  </r>
  <r>
    <n v="1043"/>
    <d v="2024-03-22T00:00:00"/>
    <s v="C006"/>
    <s v="Sneha Iyer"/>
    <x v="3"/>
    <x v="1"/>
    <x v="5"/>
    <n v="350"/>
    <n v="5"/>
    <n v="0.15"/>
    <x v="33"/>
    <n v="509.71"/>
    <d v="2025-12-19T18:29:06"/>
    <x v="4"/>
  </r>
  <r>
    <n v="1044"/>
    <d v="2024-05-09T00:00:00"/>
    <s v="C001"/>
    <s v="Amit Sharma"/>
    <x v="1"/>
    <x v="0"/>
    <x v="2"/>
    <n v="22000"/>
    <n v="1"/>
    <n v="0"/>
    <x v="34"/>
    <n v="4940.59"/>
    <d v="2025-12-19T18:29:06"/>
    <x v="1"/>
  </r>
  <r>
    <n v="1045"/>
    <d v="2024-04-25T00:00:00"/>
    <s v="C008"/>
    <s v="Pooja Nair"/>
    <x v="2"/>
    <x v="2"/>
    <x v="9"/>
    <n v="12000"/>
    <n v="5"/>
    <n v="0.15"/>
    <x v="35"/>
    <n v="11623.26"/>
    <d v="2025-12-19T18:29:06"/>
    <x v="3"/>
  </r>
  <r>
    <n v="1046"/>
    <d v="2024-05-18T00:00:00"/>
    <s v="C010"/>
    <s v="Anjali Das"/>
    <x v="3"/>
    <x v="2"/>
    <x v="6"/>
    <n v="7500"/>
    <n v="1"/>
    <n v="0.15"/>
    <x v="36"/>
    <n v="1480.34"/>
    <d v="2025-12-19T18:29:06"/>
    <x v="1"/>
  </r>
  <r>
    <n v="1047"/>
    <d v="2024-03-10T00:00:00"/>
    <s v="C003"/>
    <s v="Rohit Singh"/>
    <x v="0"/>
    <x v="1"/>
    <x v="8"/>
    <n v="500"/>
    <n v="5"/>
    <n v="0.05"/>
    <x v="37"/>
    <n v="798.51"/>
    <d v="2025-12-19T18:29:06"/>
    <x v="4"/>
  </r>
  <r>
    <n v="1048"/>
    <d v="2024-03-08T00:00:00"/>
    <s v="C009"/>
    <s v="Vikas Gupta"/>
    <x v="0"/>
    <x v="2"/>
    <x v="6"/>
    <n v="7500"/>
    <n v="3"/>
    <n v="0.05"/>
    <x v="14"/>
    <n v="6270.18"/>
    <d v="2025-12-19T18:29:06"/>
    <x v="4"/>
  </r>
  <r>
    <n v="1049"/>
    <d v="2024-01-09T00:00:00"/>
    <s v="C008"/>
    <s v="Pooja Nair"/>
    <x v="0"/>
    <x v="1"/>
    <x v="5"/>
    <n v="350"/>
    <n v="3"/>
    <n v="0.15"/>
    <x v="38"/>
    <n v="199.41"/>
    <d v="2025-12-19T18:29:06"/>
    <x v="0"/>
  </r>
  <r>
    <n v="1050"/>
    <d v="2024-04-03T00:00:00"/>
    <s v="C011"/>
    <s v="Rahul Khanna"/>
    <x v="1"/>
    <x v="0"/>
    <x v="7"/>
    <n v="18000"/>
    <n v="1"/>
    <n v="0.15"/>
    <x v="16"/>
    <n v="2800.71"/>
    <d v="2025-12-19T18:29:06"/>
    <x v="3"/>
  </r>
  <r>
    <n v="1051"/>
    <d v="2024-02-17T00:00:00"/>
    <s v="C009"/>
    <s v="Vikas Gupta"/>
    <x v="2"/>
    <x v="2"/>
    <x v="9"/>
    <n v="12000"/>
    <n v="3"/>
    <n v="0.05"/>
    <x v="39"/>
    <n v="11470.49"/>
    <d v="2025-12-19T18:29:06"/>
    <x v="2"/>
  </r>
  <r>
    <n v="1052"/>
    <d v="2024-04-29T00:00:00"/>
    <s v="C012"/>
    <s v="Simran Kaur"/>
    <x v="2"/>
    <x v="0"/>
    <x v="2"/>
    <n v="22000"/>
    <n v="3"/>
    <n v="0"/>
    <x v="40"/>
    <n v="22969.85"/>
    <d v="2025-12-19T18:29:06"/>
    <x v="3"/>
  </r>
  <r>
    <n v="1053"/>
    <d v="2024-02-27T00:00:00"/>
    <s v="C003"/>
    <s v="Rohit Singh"/>
    <x v="0"/>
    <x v="0"/>
    <x v="0"/>
    <n v="3000"/>
    <n v="3"/>
    <n v="0.1"/>
    <x v="41"/>
    <n v="2748.47"/>
    <d v="2025-12-19T18:29:06"/>
    <x v="2"/>
  </r>
  <r>
    <n v="1054"/>
    <d v="2024-02-28T00:00:00"/>
    <s v="C005"/>
    <s v="Karan Mehta"/>
    <x v="2"/>
    <x v="2"/>
    <x v="9"/>
    <n v="12000"/>
    <n v="1"/>
    <n v="0"/>
    <x v="42"/>
    <n v="3707.89"/>
    <d v="2025-12-19T18:29:06"/>
    <x v="2"/>
  </r>
  <r>
    <n v="1055"/>
    <d v="2024-01-22T00:00:00"/>
    <s v="C002"/>
    <s v="Neha Verma"/>
    <x v="0"/>
    <x v="0"/>
    <x v="0"/>
    <n v="3000"/>
    <n v="1"/>
    <n v="0"/>
    <x v="43"/>
    <n v="753.99"/>
    <d v="2025-12-19T18:29:06"/>
    <x v="0"/>
  </r>
  <r>
    <n v="1056"/>
    <d v="2024-01-10T00:00:00"/>
    <s v="C011"/>
    <s v="Rahul Khanna"/>
    <x v="1"/>
    <x v="2"/>
    <x v="9"/>
    <n v="12000"/>
    <n v="1"/>
    <n v="0.05"/>
    <x v="44"/>
    <n v="1768.8"/>
    <d v="2025-12-19T18:29:06"/>
    <x v="0"/>
  </r>
  <r>
    <n v="1057"/>
    <d v="2024-02-06T00:00:00"/>
    <s v="C004"/>
    <s v="Priya Patel"/>
    <x v="1"/>
    <x v="2"/>
    <x v="6"/>
    <n v="7500"/>
    <n v="2"/>
    <n v="0.1"/>
    <x v="45"/>
    <n v="4534.0200000000004"/>
    <d v="2025-12-19T18:29:06"/>
    <x v="2"/>
  </r>
  <r>
    <n v="1058"/>
    <d v="2024-01-30T00:00:00"/>
    <s v="C003"/>
    <s v="Rohit Singh"/>
    <x v="2"/>
    <x v="2"/>
    <x v="6"/>
    <n v="7500"/>
    <n v="4"/>
    <n v="0.15"/>
    <x v="29"/>
    <n v="6602.41"/>
    <d v="2025-12-19T18:29:06"/>
    <x v="0"/>
  </r>
  <r>
    <n v="1059"/>
    <d v="2024-01-22T00:00:00"/>
    <s v="C011"/>
    <s v="Rahul Khanna"/>
    <x v="2"/>
    <x v="0"/>
    <x v="7"/>
    <n v="18000"/>
    <n v="2"/>
    <n v="0.1"/>
    <x v="30"/>
    <n v="6908.38"/>
    <d v="2025-12-19T18:29:06"/>
    <x v="0"/>
  </r>
  <r>
    <n v="1060"/>
    <d v="2024-05-08T00:00:00"/>
    <s v="C011"/>
    <s v="Rahul Khanna"/>
    <x v="3"/>
    <x v="0"/>
    <x v="7"/>
    <n v="18000"/>
    <n v="4"/>
    <n v="0.05"/>
    <x v="46"/>
    <n v="20328.400000000001"/>
    <d v="2025-12-19T18:29:06"/>
    <x v="1"/>
  </r>
  <r>
    <n v="1061"/>
    <d v="2024-01-09T00:00:00"/>
    <s v="C009"/>
    <s v="Vikas Gupta"/>
    <x v="2"/>
    <x v="1"/>
    <x v="1"/>
    <n v="200"/>
    <n v="3"/>
    <n v="0"/>
    <x v="47"/>
    <n v="124.79"/>
    <d v="2025-12-19T18:29:06"/>
    <x v="0"/>
  </r>
  <r>
    <n v="1062"/>
    <d v="2024-05-31T00:00:00"/>
    <s v="C003"/>
    <s v="Rohit Singh"/>
    <x v="1"/>
    <x v="2"/>
    <x v="3"/>
    <n v="9500"/>
    <n v="5"/>
    <n v="0.15"/>
    <x v="11"/>
    <n v="10731.42"/>
    <d v="2025-12-19T18:29:06"/>
    <x v="1"/>
  </r>
  <r>
    <n v="1063"/>
    <d v="2024-05-14T00:00:00"/>
    <s v="C007"/>
    <s v="Arjun Rao"/>
    <x v="2"/>
    <x v="1"/>
    <x v="8"/>
    <n v="500"/>
    <n v="2"/>
    <n v="0.1"/>
    <x v="2"/>
    <n v="189.06"/>
    <d v="2025-12-19T18:29:06"/>
    <x v="1"/>
  </r>
  <r>
    <n v="1064"/>
    <d v="2024-02-20T00:00:00"/>
    <s v="C001"/>
    <s v="Amit Sharma"/>
    <x v="1"/>
    <x v="0"/>
    <x v="4"/>
    <n v="55000"/>
    <n v="3"/>
    <n v="0.15"/>
    <x v="48"/>
    <n v="36990.69"/>
    <d v="2025-12-19T18:29:06"/>
    <x v="2"/>
  </r>
  <r>
    <n v="1065"/>
    <d v="2024-02-06T00:00:00"/>
    <s v="C002"/>
    <s v="Neha Verma"/>
    <x v="0"/>
    <x v="1"/>
    <x v="1"/>
    <n v="200"/>
    <n v="3"/>
    <n v="0.1"/>
    <x v="12"/>
    <n v="156.22"/>
    <d v="2025-12-19T18:29:06"/>
    <x v="2"/>
  </r>
  <r>
    <n v="1066"/>
    <d v="2024-05-27T00:00:00"/>
    <s v="C007"/>
    <s v="Arjun Rao"/>
    <x v="1"/>
    <x v="0"/>
    <x v="4"/>
    <n v="55000"/>
    <n v="5"/>
    <n v="0.1"/>
    <x v="49"/>
    <n v="63591.9"/>
    <d v="2025-12-19T18:29:06"/>
    <x v="1"/>
  </r>
  <r>
    <n v="1067"/>
    <d v="2024-05-10T00:00:00"/>
    <s v="C012"/>
    <s v="Simran Kaur"/>
    <x v="3"/>
    <x v="2"/>
    <x v="6"/>
    <n v="7500"/>
    <n v="1"/>
    <n v="0"/>
    <x v="50"/>
    <n v="1671.79"/>
    <d v="2025-12-19T18:29:06"/>
    <x v="1"/>
  </r>
  <r>
    <n v="1068"/>
    <d v="2024-03-09T00:00:00"/>
    <s v="C006"/>
    <s v="Sneha Iyer"/>
    <x v="3"/>
    <x v="0"/>
    <x v="7"/>
    <n v="18000"/>
    <n v="1"/>
    <n v="0.1"/>
    <x v="51"/>
    <n v="4678.68"/>
    <d v="2025-12-19T18:29:06"/>
    <x v="4"/>
  </r>
  <r>
    <n v="1069"/>
    <d v="2024-06-11T00:00:00"/>
    <s v="C007"/>
    <s v="Arjun Rao"/>
    <x v="0"/>
    <x v="1"/>
    <x v="8"/>
    <n v="500"/>
    <n v="4"/>
    <n v="0.1"/>
    <x v="52"/>
    <n v="468.4"/>
    <d v="2025-12-19T18:29:06"/>
    <x v="5"/>
  </r>
  <r>
    <n v="1070"/>
    <d v="2024-01-04T00:00:00"/>
    <s v="C010"/>
    <s v="Anjali Das"/>
    <x v="1"/>
    <x v="0"/>
    <x v="0"/>
    <n v="3000"/>
    <n v="4"/>
    <n v="0"/>
    <x v="42"/>
    <n v="1920.53"/>
    <d v="2025-12-19T18:29:06"/>
    <x v="0"/>
  </r>
  <r>
    <n v="1071"/>
    <d v="2024-06-20T00:00:00"/>
    <s v="C007"/>
    <s v="Arjun Rao"/>
    <x v="0"/>
    <x v="0"/>
    <x v="4"/>
    <n v="55000"/>
    <n v="5"/>
    <n v="0"/>
    <x v="53"/>
    <n v="84911.26"/>
    <d v="2025-12-19T18:29:06"/>
    <x v="5"/>
  </r>
  <r>
    <n v="1072"/>
    <d v="2024-01-25T00:00:00"/>
    <s v="C004"/>
    <s v="Priya Patel"/>
    <x v="0"/>
    <x v="0"/>
    <x v="4"/>
    <n v="55000"/>
    <n v="4"/>
    <n v="0.15"/>
    <x v="54"/>
    <n v="59205.35"/>
    <d v="2025-12-19T18:29:06"/>
    <x v="0"/>
  </r>
  <r>
    <n v="1073"/>
    <d v="2024-01-11T00:00:00"/>
    <s v="C009"/>
    <s v="Vikas Gupta"/>
    <x v="1"/>
    <x v="2"/>
    <x v="9"/>
    <n v="12000"/>
    <n v="1"/>
    <n v="0"/>
    <x v="42"/>
    <n v="3380.79"/>
    <d v="2025-12-19T18:29:06"/>
    <x v="0"/>
  </r>
  <r>
    <n v="1074"/>
    <d v="2024-01-15T00:00:00"/>
    <s v="C004"/>
    <s v="Priya Patel"/>
    <x v="1"/>
    <x v="1"/>
    <x v="1"/>
    <n v="200"/>
    <n v="1"/>
    <n v="0.05"/>
    <x v="55"/>
    <n v="53.44"/>
    <d v="2025-12-19T18:29:06"/>
    <x v="0"/>
  </r>
  <r>
    <n v="1075"/>
    <d v="2024-01-10T00:00:00"/>
    <s v="C005"/>
    <s v="Karan Mehta"/>
    <x v="3"/>
    <x v="2"/>
    <x v="9"/>
    <n v="12000"/>
    <n v="2"/>
    <n v="0.15"/>
    <x v="56"/>
    <n v="6210.38"/>
    <d v="2025-12-19T18:29:06"/>
    <x v="0"/>
  </r>
  <r>
    <n v="1076"/>
    <d v="2024-02-13T00:00:00"/>
    <s v="C007"/>
    <s v="Arjun Rao"/>
    <x v="2"/>
    <x v="1"/>
    <x v="1"/>
    <n v="200"/>
    <n v="1"/>
    <n v="0"/>
    <x v="4"/>
    <n v="34.54"/>
    <d v="2025-12-19T18:29:06"/>
    <x v="2"/>
  </r>
  <r>
    <n v="1077"/>
    <d v="2024-05-10T00:00:00"/>
    <s v="C005"/>
    <s v="Karan Mehta"/>
    <x v="2"/>
    <x v="2"/>
    <x v="9"/>
    <n v="12000"/>
    <n v="4"/>
    <n v="0.15"/>
    <x v="57"/>
    <n v="7413.96"/>
    <d v="2025-12-19T18:29:06"/>
    <x v="1"/>
  </r>
  <r>
    <n v="1078"/>
    <d v="2024-01-09T00:00:00"/>
    <s v="C002"/>
    <s v="Neha Verma"/>
    <x v="2"/>
    <x v="1"/>
    <x v="1"/>
    <n v="200"/>
    <n v="3"/>
    <n v="0"/>
    <x v="47"/>
    <n v="176.46"/>
    <d v="2025-12-19T18:29:06"/>
    <x v="0"/>
  </r>
  <r>
    <n v="1079"/>
    <d v="2024-02-13T00:00:00"/>
    <s v="C010"/>
    <s v="Anjali Das"/>
    <x v="1"/>
    <x v="2"/>
    <x v="3"/>
    <n v="9500"/>
    <n v="4"/>
    <n v="0.1"/>
    <x v="39"/>
    <n v="11452.38"/>
    <d v="2025-12-19T18:29:06"/>
    <x v="2"/>
  </r>
  <r>
    <n v="1080"/>
    <d v="2024-01-11T00:00:00"/>
    <s v="C011"/>
    <s v="Rahul Khanna"/>
    <x v="0"/>
    <x v="0"/>
    <x v="7"/>
    <n v="18000"/>
    <n v="2"/>
    <n v="0.15"/>
    <x v="58"/>
    <n v="7424.55"/>
    <d v="2025-12-19T18:29:06"/>
    <x v="0"/>
  </r>
  <r>
    <n v="1081"/>
    <d v="2024-05-03T00:00:00"/>
    <s v="C010"/>
    <s v="Anjali Das"/>
    <x v="1"/>
    <x v="0"/>
    <x v="7"/>
    <n v="18000"/>
    <n v="3"/>
    <n v="0.1"/>
    <x v="59"/>
    <n v="15614.46"/>
    <d v="2025-12-19T18:29:06"/>
    <x v="1"/>
  </r>
  <r>
    <n v="1082"/>
    <d v="2024-02-09T00:00:00"/>
    <s v="C010"/>
    <s v="Anjali Das"/>
    <x v="3"/>
    <x v="2"/>
    <x v="6"/>
    <n v="7500"/>
    <n v="1"/>
    <n v="0.15"/>
    <x v="36"/>
    <n v="1824.53"/>
    <d v="2025-12-19T18:29:06"/>
    <x v="2"/>
  </r>
  <r>
    <n v="1083"/>
    <d v="2024-06-07T00:00:00"/>
    <s v="C009"/>
    <s v="Vikas Gupta"/>
    <x v="0"/>
    <x v="1"/>
    <x v="8"/>
    <n v="500"/>
    <n v="1"/>
    <n v="0"/>
    <x v="60"/>
    <n v="139.03"/>
    <d v="2025-12-19T18:29:06"/>
    <x v="5"/>
  </r>
  <r>
    <n v="1084"/>
    <d v="2024-01-24T00:00:00"/>
    <s v="C010"/>
    <s v="Anjali Das"/>
    <x v="1"/>
    <x v="2"/>
    <x v="3"/>
    <n v="9500"/>
    <n v="3"/>
    <n v="0.15"/>
    <x v="61"/>
    <n v="5253.73"/>
    <d v="2025-12-19T18:29:06"/>
    <x v="0"/>
  </r>
  <r>
    <n v="1085"/>
    <d v="2024-02-26T00:00:00"/>
    <s v="C006"/>
    <s v="Sneha Iyer"/>
    <x v="0"/>
    <x v="2"/>
    <x v="9"/>
    <n v="12000"/>
    <n v="5"/>
    <n v="0"/>
    <x v="62"/>
    <n v="14190.28"/>
    <d v="2025-12-19T18:29:06"/>
    <x v="2"/>
  </r>
  <r>
    <n v="1086"/>
    <d v="2024-05-14T00:00:00"/>
    <s v="C005"/>
    <s v="Karan Mehta"/>
    <x v="2"/>
    <x v="2"/>
    <x v="9"/>
    <n v="12000"/>
    <n v="3"/>
    <n v="0"/>
    <x v="63"/>
    <n v="9435.48"/>
    <d v="2025-12-19T18:29:06"/>
    <x v="1"/>
  </r>
  <r>
    <n v="1087"/>
    <d v="2024-04-14T00:00:00"/>
    <s v="C012"/>
    <s v="Simran Kaur"/>
    <x v="1"/>
    <x v="1"/>
    <x v="1"/>
    <n v="200"/>
    <n v="5"/>
    <n v="0.15"/>
    <x v="64"/>
    <n v="252.02"/>
    <d v="2025-12-19T18:29:06"/>
    <x v="3"/>
  </r>
  <r>
    <n v="1088"/>
    <d v="2024-02-25T00:00:00"/>
    <s v="C009"/>
    <s v="Vikas Gupta"/>
    <x v="3"/>
    <x v="2"/>
    <x v="3"/>
    <n v="9500"/>
    <n v="5"/>
    <n v="0"/>
    <x v="65"/>
    <n v="11702.3"/>
    <d v="2025-12-19T18:29:06"/>
    <x v="2"/>
  </r>
  <r>
    <n v="1089"/>
    <d v="2024-01-03T00:00:00"/>
    <s v="C004"/>
    <s v="Priya Patel"/>
    <x v="2"/>
    <x v="1"/>
    <x v="5"/>
    <n v="350"/>
    <n v="3"/>
    <n v="0"/>
    <x v="23"/>
    <n v="251.02"/>
    <d v="2025-12-19T18:29:06"/>
    <x v="0"/>
  </r>
  <r>
    <n v="1090"/>
    <d v="2024-02-11T00:00:00"/>
    <s v="C009"/>
    <s v="Vikas Gupta"/>
    <x v="0"/>
    <x v="2"/>
    <x v="3"/>
    <n v="9500"/>
    <n v="2"/>
    <n v="0.1"/>
    <x v="26"/>
    <n v="4876"/>
    <d v="2025-12-19T18:29:06"/>
    <x v="2"/>
  </r>
  <r>
    <n v="1091"/>
    <d v="2024-04-21T00:00:00"/>
    <s v="C001"/>
    <s v="Amit Sharma"/>
    <x v="2"/>
    <x v="1"/>
    <x v="5"/>
    <n v="350"/>
    <n v="3"/>
    <n v="0"/>
    <x v="23"/>
    <n v="288.98"/>
    <d v="2025-12-19T18:29:06"/>
    <x v="3"/>
  </r>
  <r>
    <n v="1092"/>
    <d v="2024-03-05T00:00:00"/>
    <s v="C008"/>
    <s v="Pooja Nair"/>
    <x v="0"/>
    <x v="2"/>
    <x v="3"/>
    <n v="9500"/>
    <n v="3"/>
    <n v="0"/>
    <x v="66"/>
    <n v="4337.1000000000004"/>
    <d v="2025-12-19T18:29:06"/>
    <x v="4"/>
  </r>
  <r>
    <n v="1093"/>
    <d v="2024-01-18T00:00:00"/>
    <s v="C010"/>
    <s v="Anjali Das"/>
    <x v="2"/>
    <x v="0"/>
    <x v="7"/>
    <n v="18000"/>
    <n v="4"/>
    <n v="0.05"/>
    <x v="46"/>
    <n v="20897.79"/>
    <d v="2025-12-19T18:29:06"/>
    <x v="0"/>
  </r>
  <r>
    <n v="1094"/>
    <d v="2024-02-11T00:00:00"/>
    <s v="C003"/>
    <s v="Rohit Singh"/>
    <x v="2"/>
    <x v="2"/>
    <x v="9"/>
    <n v="12000"/>
    <n v="3"/>
    <n v="0.15"/>
    <x v="58"/>
    <n v="6092.35"/>
    <d v="2025-12-19T18:29:06"/>
    <x v="2"/>
  </r>
  <r>
    <n v="1095"/>
    <d v="2024-06-14T00:00:00"/>
    <s v="C009"/>
    <s v="Vikas Gupta"/>
    <x v="0"/>
    <x v="0"/>
    <x v="2"/>
    <n v="22000"/>
    <n v="2"/>
    <n v="0.15"/>
    <x v="7"/>
    <n v="7851.76"/>
    <d v="2025-12-19T18:29:06"/>
    <x v="5"/>
  </r>
  <r>
    <n v="1096"/>
    <d v="2024-05-08T00:00:00"/>
    <s v="C006"/>
    <s v="Sneha Iyer"/>
    <x v="0"/>
    <x v="1"/>
    <x v="5"/>
    <n v="350"/>
    <n v="4"/>
    <n v="0.15"/>
    <x v="67"/>
    <n v="397.65"/>
    <d v="2025-12-19T18:29:06"/>
    <x v="1"/>
  </r>
  <r>
    <n v="1097"/>
    <d v="2024-05-10T00:00:00"/>
    <s v="C005"/>
    <s v="Karan Mehta"/>
    <x v="3"/>
    <x v="2"/>
    <x v="3"/>
    <n v="9500"/>
    <n v="1"/>
    <n v="0.15"/>
    <x v="68"/>
    <n v="2140.35"/>
    <d v="2025-12-19T18:29:06"/>
    <x v="1"/>
  </r>
  <r>
    <n v="1098"/>
    <d v="2024-05-14T00:00:00"/>
    <s v="C007"/>
    <s v="Arjun Rao"/>
    <x v="3"/>
    <x v="2"/>
    <x v="6"/>
    <n v="7500"/>
    <n v="2"/>
    <n v="0.05"/>
    <x v="69"/>
    <n v="2536.5700000000002"/>
    <d v="2025-12-19T18:29:06"/>
    <x v="1"/>
  </r>
  <r>
    <n v="1099"/>
    <d v="2024-02-14T00:00:00"/>
    <s v="C004"/>
    <s v="Priya Patel"/>
    <x v="1"/>
    <x v="0"/>
    <x v="2"/>
    <n v="22000"/>
    <n v="1"/>
    <n v="0"/>
    <x v="34"/>
    <n v="6070.46"/>
    <d v="2025-12-19T18:29:06"/>
    <x v="2"/>
  </r>
  <r>
    <n v="1100"/>
    <d v="2024-05-22T00:00:00"/>
    <s v="C009"/>
    <s v="Vikas Gupta"/>
    <x v="1"/>
    <x v="2"/>
    <x v="6"/>
    <n v="7500"/>
    <n v="2"/>
    <n v="0"/>
    <x v="70"/>
    <n v="4862.07"/>
    <d v="2025-12-19T18:29:06"/>
    <x v="1"/>
  </r>
  <r>
    <n v="1101"/>
    <d v="2024-06-12T00:00:00"/>
    <s v="C011"/>
    <s v="Rahul Khanna"/>
    <x v="2"/>
    <x v="2"/>
    <x v="6"/>
    <n v="7500"/>
    <n v="3"/>
    <n v="0.1"/>
    <x v="71"/>
    <n v="3728.27"/>
    <d v="2025-12-19T18:29:06"/>
    <x v="5"/>
  </r>
  <r>
    <n v="1102"/>
    <d v="2024-01-15T00:00:00"/>
    <s v="C012"/>
    <s v="Simran Kaur"/>
    <x v="0"/>
    <x v="0"/>
    <x v="0"/>
    <n v="3000"/>
    <n v="3"/>
    <n v="0"/>
    <x v="72"/>
    <n v="2652.36"/>
    <d v="2025-12-19T18:29:06"/>
    <x v="0"/>
  </r>
  <r>
    <n v="1103"/>
    <d v="2024-05-18T00:00:00"/>
    <s v="C004"/>
    <s v="Priya Patel"/>
    <x v="0"/>
    <x v="2"/>
    <x v="9"/>
    <n v="12000"/>
    <n v="4"/>
    <n v="0.05"/>
    <x v="73"/>
    <n v="7129.56"/>
    <d v="2025-12-19T18:29:06"/>
    <x v="1"/>
  </r>
  <r>
    <n v="1104"/>
    <d v="2024-01-04T00:00:00"/>
    <s v="C011"/>
    <s v="Rahul Khanna"/>
    <x v="1"/>
    <x v="2"/>
    <x v="6"/>
    <n v="7500"/>
    <n v="4"/>
    <n v="0.05"/>
    <x v="66"/>
    <n v="5439.46"/>
    <d v="2025-12-19T18:29:06"/>
    <x v="0"/>
  </r>
  <r>
    <n v="1105"/>
    <d v="2024-03-15T00:00:00"/>
    <s v="C007"/>
    <s v="Arjun Rao"/>
    <x v="3"/>
    <x v="0"/>
    <x v="4"/>
    <n v="55000"/>
    <n v="2"/>
    <n v="0.05"/>
    <x v="20"/>
    <n v="21737.85"/>
    <d v="2025-12-19T18:29:06"/>
    <x v="4"/>
  </r>
  <r>
    <n v="1106"/>
    <d v="2024-04-04T00:00:00"/>
    <s v="C003"/>
    <s v="Rohit Singh"/>
    <x v="0"/>
    <x v="2"/>
    <x v="9"/>
    <n v="12000"/>
    <n v="1"/>
    <n v="0.15"/>
    <x v="74"/>
    <n v="2395.67"/>
    <d v="2025-12-19T18:29:06"/>
    <x v="3"/>
  </r>
  <r>
    <n v="1107"/>
    <d v="2024-01-08T00:00:00"/>
    <s v="C001"/>
    <s v="Amit Sharma"/>
    <x v="0"/>
    <x v="0"/>
    <x v="0"/>
    <n v="3000"/>
    <n v="3"/>
    <n v="0.15"/>
    <x v="75"/>
    <n v="1382.9"/>
    <d v="2025-12-19T18:29:06"/>
    <x v="0"/>
  </r>
  <r>
    <n v="1108"/>
    <d v="2024-04-15T00:00:00"/>
    <s v="C004"/>
    <s v="Priya Patel"/>
    <x v="2"/>
    <x v="1"/>
    <x v="5"/>
    <n v="350"/>
    <n v="2"/>
    <n v="0.1"/>
    <x v="25"/>
    <n v="172.08"/>
    <d v="2025-12-19T18:29:06"/>
    <x v="3"/>
  </r>
  <r>
    <n v="1109"/>
    <d v="2024-05-10T00:00:00"/>
    <s v="C008"/>
    <s v="Pooja Nair"/>
    <x v="2"/>
    <x v="0"/>
    <x v="0"/>
    <n v="3000"/>
    <n v="3"/>
    <n v="0.1"/>
    <x v="41"/>
    <n v="2295.8000000000002"/>
    <d v="2025-12-19T18:29:06"/>
    <x v="1"/>
  </r>
  <r>
    <n v="1110"/>
    <d v="2024-05-04T00:00:00"/>
    <s v="C005"/>
    <s v="Karan Mehta"/>
    <x v="1"/>
    <x v="0"/>
    <x v="0"/>
    <n v="3000"/>
    <n v="1"/>
    <n v="0.1"/>
    <x v="0"/>
    <n v="701.53"/>
    <d v="2025-12-19T18:29:06"/>
    <x v="1"/>
  </r>
  <r>
    <n v="1111"/>
    <d v="2024-01-28T00:00:00"/>
    <s v="C012"/>
    <s v="Simran Kaur"/>
    <x v="3"/>
    <x v="1"/>
    <x v="8"/>
    <n v="500"/>
    <n v="3"/>
    <n v="0"/>
    <x v="76"/>
    <n v="363.08"/>
    <d v="2025-12-19T18:29:06"/>
    <x v="0"/>
  </r>
  <r>
    <n v="1112"/>
    <d v="2024-02-15T00:00:00"/>
    <s v="C008"/>
    <s v="Pooja Nair"/>
    <x v="3"/>
    <x v="0"/>
    <x v="4"/>
    <n v="55000"/>
    <n v="2"/>
    <n v="0.05"/>
    <x v="20"/>
    <n v="21385.64"/>
    <d v="2025-12-19T18:29:06"/>
    <x v="2"/>
  </r>
  <r>
    <n v="1113"/>
    <d v="2024-06-16T00:00:00"/>
    <s v="C012"/>
    <s v="Simran Kaur"/>
    <x v="1"/>
    <x v="1"/>
    <x v="1"/>
    <n v="200"/>
    <n v="5"/>
    <n v="0"/>
    <x v="1"/>
    <n v="232.21"/>
    <d v="2025-12-19T18:29:06"/>
    <x v="5"/>
  </r>
  <r>
    <n v="1114"/>
    <d v="2024-04-07T00:00:00"/>
    <s v="C011"/>
    <s v="Rahul Khanna"/>
    <x v="3"/>
    <x v="1"/>
    <x v="1"/>
    <n v="200"/>
    <n v="5"/>
    <n v="0"/>
    <x v="1"/>
    <n v="290.18"/>
    <d v="2025-12-19T18:29:06"/>
    <x v="3"/>
  </r>
  <r>
    <n v="1115"/>
    <d v="2024-01-18T00:00:00"/>
    <s v="C010"/>
    <s v="Anjali Das"/>
    <x v="2"/>
    <x v="2"/>
    <x v="6"/>
    <n v="7500"/>
    <n v="4"/>
    <n v="0"/>
    <x v="77"/>
    <n v="8049.26"/>
    <d v="2025-12-19T18:29:06"/>
    <x v="0"/>
  </r>
  <r>
    <n v="1116"/>
    <d v="2024-05-31T00:00:00"/>
    <s v="C003"/>
    <s v="Rohit Singh"/>
    <x v="2"/>
    <x v="2"/>
    <x v="9"/>
    <n v="12000"/>
    <n v="5"/>
    <n v="0"/>
    <x v="62"/>
    <n v="18314.650000000001"/>
    <d v="2025-12-19T18:29:06"/>
    <x v="1"/>
  </r>
  <r>
    <n v="1117"/>
    <d v="2024-05-31T00:00:00"/>
    <s v="C010"/>
    <s v="Anjali Das"/>
    <x v="2"/>
    <x v="0"/>
    <x v="0"/>
    <n v="3000"/>
    <n v="2"/>
    <n v="0.05"/>
    <x v="78"/>
    <n v="866.56"/>
    <d v="2025-12-19T18:29:06"/>
    <x v="1"/>
  </r>
  <r>
    <n v="1118"/>
    <d v="2024-06-09T00:00:00"/>
    <s v="C005"/>
    <s v="Karan Mehta"/>
    <x v="1"/>
    <x v="1"/>
    <x v="5"/>
    <n v="350"/>
    <n v="3"/>
    <n v="0.1"/>
    <x v="79"/>
    <n v="182.29"/>
    <d v="2025-12-19T18:29:06"/>
    <x v="5"/>
  </r>
  <r>
    <n v="1119"/>
    <d v="2024-03-26T00:00:00"/>
    <s v="C012"/>
    <s v="Simran Kaur"/>
    <x v="3"/>
    <x v="2"/>
    <x v="3"/>
    <n v="9500"/>
    <n v="5"/>
    <n v="0.15"/>
    <x v="11"/>
    <n v="6824.97"/>
    <d v="2025-12-19T18:29:06"/>
    <x v="4"/>
  </r>
  <r>
    <n v="1120"/>
    <d v="2024-04-21T00:00:00"/>
    <s v="C012"/>
    <s v="Simran Kaur"/>
    <x v="0"/>
    <x v="2"/>
    <x v="9"/>
    <n v="12000"/>
    <n v="2"/>
    <n v="0.05"/>
    <x v="80"/>
    <n v="7466.89"/>
    <d v="2025-12-19T18:29:06"/>
    <x v="3"/>
  </r>
  <r>
    <n v="1121"/>
    <d v="2024-05-25T00:00:00"/>
    <s v="C012"/>
    <s v="Simran Kaur"/>
    <x v="2"/>
    <x v="1"/>
    <x v="8"/>
    <n v="500"/>
    <n v="1"/>
    <n v="0"/>
    <x v="60"/>
    <n v="121.31"/>
    <d v="2025-12-19T18:29:06"/>
    <x v="1"/>
  </r>
  <r>
    <n v="1122"/>
    <d v="2024-04-08T00:00:00"/>
    <s v="C006"/>
    <s v="Sneha Iyer"/>
    <x v="0"/>
    <x v="1"/>
    <x v="1"/>
    <n v="200"/>
    <n v="2"/>
    <n v="0.1"/>
    <x v="28"/>
    <n v="125.5"/>
    <d v="2025-12-19T18:29:06"/>
    <x v="3"/>
  </r>
  <r>
    <n v="1123"/>
    <d v="2024-06-04T00:00:00"/>
    <s v="C009"/>
    <s v="Vikas Gupta"/>
    <x v="3"/>
    <x v="0"/>
    <x v="4"/>
    <n v="55000"/>
    <n v="1"/>
    <n v="0"/>
    <x v="81"/>
    <n v="8624.99"/>
    <d v="2025-12-19T18:29:06"/>
    <x v="5"/>
  </r>
  <r>
    <n v="1124"/>
    <d v="2024-03-29T00:00:00"/>
    <s v="C012"/>
    <s v="Simran Kaur"/>
    <x v="2"/>
    <x v="1"/>
    <x v="8"/>
    <n v="500"/>
    <n v="4"/>
    <n v="0"/>
    <x v="82"/>
    <n v="542.97"/>
    <d v="2025-12-19T18:29:06"/>
    <x v="4"/>
  </r>
  <r>
    <n v="1125"/>
    <d v="2024-06-03T00:00:00"/>
    <s v="C003"/>
    <s v="Rohit Singh"/>
    <x v="3"/>
    <x v="2"/>
    <x v="6"/>
    <n v="7500"/>
    <n v="2"/>
    <n v="0"/>
    <x v="70"/>
    <n v="3771.21"/>
    <d v="2025-12-19T18:29:06"/>
    <x v="5"/>
  </r>
  <r>
    <n v="1126"/>
    <d v="2024-02-23T00:00:00"/>
    <s v="C002"/>
    <s v="Neha Verma"/>
    <x v="2"/>
    <x v="2"/>
    <x v="9"/>
    <n v="12000"/>
    <n v="5"/>
    <n v="0.05"/>
    <x v="83"/>
    <n v="12953.99"/>
    <d v="2025-12-19T18:29:06"/>
    <x v="2"/>
  </r>
  <r>
    <n v="1127"/>
    <d v="2024-05-13T00:00:00"/>
    <s v="C008"/>
    <s v="Pooja Nair"/>
    <x v="3"/>
    <x v="0"/>
    <x v="4"/>
    <n v="55000"/>
    <n v="3"/>
    <n v="0"/>
    <x v="84"/>
    <n v="32705.49"/>
    <d v="2025-12-19T18:29:06"/>
    <x v="1"/>
  </r>
  <r>
    <n v="1128"/>
    <d v="2024-05-28T00:00:00"/>
    <s v="C012"/>
    <s v="Simran Kaur"/>
    <x v="2"/>
    <x v="2"/>
    <x v="9"/>
    <n v="12000"/>
    <n v="2"/>
    <n v="0.15"/>
    <x v="56"/>
    <n v="3984.49"/>
    <d v="2025-12-19T18:29:06"/>
    <x v="1"/>
  </r>
  <r>
    <n v="1129"/>
    <d v="2024-05-11T00:00:00"/>
    <s v="C009"/>
    <s v="Vikas Gupta"/>
    <x v="0"/>
    <x v="1"/>
    <x v="1"/>
    <n v="200"/>
    <n v="4"/>
    <n v="0.05"/>
    <x v="85"/>
    <n v="212.6"/>
    <d v="2025-12-19T18:29:06"/>
    <x v="1"/>
  </r>
  <r>
    <n v="1130"/>
    <d v="2024-04-18T00:00:00"/>
    <s v="C002"/>
    <s v="Neha Verma"/>
    <x v="0"/>
    <x v="1"/>
    <x v="8"/>
    <n v="500"/>
    <n v="1"/>
    <n v="0.1"/>
    <x v="19"/>
    <n v="94.7"/>
    <d v="2025-12-19T18:29:06"/>
    <x v="3"/>
  </r>
  <r>
    <n v="1131"/>
    <d v="2024-05-17T00:00:00"/>
    <s v="C012"/>
    <s v="Simran Kaur"/>
    <x v="2"/>
    <x v="0"/>
    <x v="0"/>
    <n v="3000"/>
    <n v="3"/>
    <n v="0"/>
    <x v="72"/>
    <n v="1998.46"/>
    <d v="2025-12-19T18:29:06"/>
    <x v="1"/>
  </r>
  <r>
    <n v="1132"/>
    <d v="2024-01-07T00:00:00"/>
    <s v="C008"/>
    <s v="Pooja Nair"/>
    <x v="0"/>
    <x v="1"/>
    <x v="8"/>
    <n v="500"/>
    <n v="3"/>
    <n v="0.1"/>
    <x v="86"/>
    <n v="351.77"/>
    <d v="2025-12-19T18:29:06"/>
    <x v="0"/>
  </r>
  <r>
    <n v="1133"/>
    <d v="2024-04-24T00:00:00"/>
    <s v="C005"/>
    <s v="Karan Mehta"/>
    <x v="0"/>
    <x v="0"/>
    <x v="0"/>
    <n v="3000"/>
    <n v="3"/>
    <n v="0.05"/>
    <x v="87"/>
    <n v="2694.23"/>
    <d v="2025-12-19T18:29:06"/>
    <x v="3"/>
  </r>
  <r>
    <n v="1134"/>
    <d v="2024-06-04T00:00:00"/>
    <s v="C004"/>
    <s v="Priya Patel"/>
    <x v="1"/>
    <x v="2"/>
    <x v="6"/>
    <n v="7500"/>
    <n v="1"/>
    <n v="0"/>
    <x v="50"/>
    <n v="2386.54"/>
    <d v="2025-12-19T18:29:06"/>
    <x v="5"/>
  </r>
  <r>
    <n v="1135"/>
    <d v="2024-06-09T00:00:00"/>
    <s v="C005"/>
    <s v="Karan Mehta"/>
    <x v="3"/>
    <x v="2"/>
    <x v="3"/>
    <n v="9500"/>
    <n v="3"/>
    <n v="0"/>
    <x v="66"/>
    <n v="5356.75"/>
    <d v="2025-12-19T18:29:06"/>
    <x v="5"/>
  </r>
  <r>
    <n v="1136"/>
    <d v="2024-04-07T00:00:00"/>
    <s v="C001"/>
    <s v="Amit Sharma"/>
    <x v="0"/>
    <x v="1"/>
    <x v="1"/>
    <n v="200"/>
    <n v="2"/>
    <n v="0"/>
    <x v="88"/>
    <n v="112.56"/>
    <d v="2025-12-19T18:29:06"/>
    <x v="3"/>
  </r>
  <r>
    <n v="1137"/>
    <d v="2024-03-25T00:00:00"/>
    <s v="C002"/>
    <s v="Neha Verma"/>
    <x v="2"/>
    <x v="2"/>
    <x v="9"/>
    <n v="12000"/>
    <n v="5"/>
    <n v="0.1"/>
    <x v="89"/>
    <n v="13474.12"/>
    <d v="2025-12-19T18:29:06"/>
    <x v="4"/>
  </r>
  <r>
    <n v="1138"/>
    <d v="2024-02-16T00:00:00"/>
    <s v="C005"/>
    <s v="Karan Mehta"/>
    <x v="2"/>
    <x v="2"/>
    <x v="6"/>
    <n v="7500"/>
    <n v="4"/>
    <n v="0"/>
    <x v="77"/>
    <n v="8915.39"/>
    <d v="2025-12-19T18:29:06"/>
    <x v="2"/>
  </r>
  <r>
    <n v="1139"/>
    <d v="2024-02-24T00:00:00"/>
    <s v="C007"/>
    <s v="Arjun Rao"/>
    <x v="1"/>
    <x v="2"/>
    <x v="3"/>
    <n v="9500"/>
    <n v="3"/>
    <n v="0.05"/>
    <x v="90"/>
    <n v="5673.97"/>
    <d v="2025-12-19T18:29:06"/>
    <x v="2"/>
  </r>
  <r>
    <n v="1140"/>
    <d v="2024-02-07T00:00:00"/>
    <s v="C003"/>
    <s v="Rohit Singh"/>
    <x v="0"/>
    <x v="2"/>
    <x v="9"/>
    <n v="12000"/>
    <n v="2"/>
    <n v="0.15"/>
    <x v="56"/>
    <n v="6528.14"/>
    <d v="2025-12-19T18:29:06"/>
    <x v="2"/>
  </r>
  <r>
    <n v="1141"/>
    <d v="2024-02-29T00:00:00"/>
    <s v="C003"/>
    <s v="Rohit Singh"/>
    <x v="0"/>
    <x v="0"/>
    <x v="4"/>
    <n v="55000"/>
    <n v="4"/>
    <n v="0.15"/>
    <x v="54"/>
    <n v="49926.32"/>
    <d v="2025-12-19T18:29:06"/>
    <x v="2"/>
  </r>
  <r>
    <n v="1142"/>
    <d v="2024-06-10T00:00:00"/>
    <s v="C009"/>
    <s v="Vikas Gupta"/>
    <x v="3"/>
    <x v="2"/>
    <x v="3"/>
    <n v="9500"/>
    <n v="2"/>
    <n v="0.1"/>
    <x v="26"/>
    <n v="5868"/>
    <d v="2025-12-19T18:29:06"/>
    <x v="5"/>
  </r>
  <r>
    <n v="1143"/>
    <d v="2024-05-21T00:00:00"/>
    <s v="C009"/>
    <s v="Vikas Gupta"/>
    <x v="3"/>
    <x v="0"/>
    <x v="4"/>
    <n v="55000"/>
    <n v="1"/>
    <n v="0.15"/>
    <x v="91"/>
    <n v="7976.98"/>
    <d v="2025-12-19T18:29:06"/>
    <x v="1"/>
  </r>
  <r>
    <n v="1144"/>
    <d v="2024-05-15T00:00:00"/>
    <s v="C009"/>
    <s v="Vikas Gupta"/>
    <x v="2"/>
    <x v="0"/>
    <x v="7"/>
    <n v="18000"/>
    <n v="5"/>
    <n v="0.15"/>
    <x v="92"/>
    <n v="15841.76"/>
    <d v="2025-12-19T18:29:06"/>
    <x v="1"/>
  </r>
  <r>
    <n v="1145"/>
    <d v="2024-02-29T00:00:00"/>
    <s v="C004"/>
    <s v="Priya Patel"/>
    <x v="2"/>
    <x v="1"/>
    <x v="5"/>
    <n v="350"/>
    <n v="1"/>
    <n v="0.1"/>
    <x v="93"/>
    <n v="74.040000000000006"/>
    <d v="2025-12-19T18:29:06"/>
    <x v="2"/>
  </r>
  <r>
    <n v="1146"/>
    <d v="2024-06-24T00:00:00"/>
    <s v="C012"/>
    <s v="Simran Kaur"/>
    <x v="1"/>
    <x v="1"/>
    <x v="8"/>
    <n v="500"/>
    <n v="1"/>
    <n v="0.05"/>
    <x v="94"/>
    <n v="135"/>
    <d v="2025-12-19T18:29:06"/>
    <x v="5"/>
  </r>
  <r>
    <n v="1147"/>
    <d v="2024-03-28T00:00:00"/>
    <s v="C003"/>
    <s v="Rohit Singh"/>
    <x v="2"/>
    <x v="2"/>
    <x v="6"/>
    <n v="7500"/>
    <n v="1"/>
    <n v="0.1"/>
    <x v="95"/>
    <n v="1355.69"/>
    <d v="2025-12-19T18:29:06"/>
    <x v="4"/>
  </r>
  <r>
    <n v="1148"/>
    <d v="2024-05-18T00:00:00"/>
    <s v="C005"/>
    <s v="Karan Mehta"/>
    <x v="2"/>
    <x v="1"/>
    <x v="5"/>
    <n v="350"/>
    <n v="1"/>
    <n v="0.15"/>
    <x v="13"/>
    <n v="66.36"/>
    <d v="2025-12-19T18:29:06"/>
    <x v="1"/>
  </r>
  <r>
    <n v="1149"/>
    <d v="2024-04-27T00:00:00"/>
    <s v="C010"/>
    <s v="Anjali Das"/>
    <x v="1"/>
    <x v="2"/>
    <x v="9"/>
    <n v="12000"/>
    <n v="2"/>
    <n v="0.1"/>
    <x v="96"/>
    <n v="7272.87"/>
    <d v="2025-12-19T18:29:06"/>
    <x v="3"/>
  </r>
  <r>
    <n v="1150"/>
    <d v="2024-02-24T00:00:00"/>
    <s v="C008"/>
    <s v="Pooja Nair"/>
    <x v="2"/>
    <x v="0"/>
    <x v="4"/>
    <n v="55000"/>
    <n v="4"/>
    <n v="0.15"/>
    <x v="54"/>
    <n v="47669.14"/>
    <d v="2025-12-19T18:29:06"/>
    <x v="2"/>
  </r>
  <r>
    <n v="1151"/>
    <d v="2024-01-10T00:00:00"/>
    <s v="C006"/>
    <s v="Sneha Iyer"/>
    <x v="0"/>
    <x v="2"/>
    <x v="6"/>
    <n v="7500"/>
    <n v="2"/>
    <n v="0.15"/>
    <x v="18"/>
    <n v="4400.59"/>
    <d v="2025-12-19T18:29:06"/>
    <x v="0"/>
  </r>
  <r>
    <n v="1152"/>
    <d v="2024-01-11T00:00:00"/>
    <s v="C004"/>
    <s v="Priya Patel"/>
    <x v="2"/>
    <x v="2"/>
    <x v="9"/>
    <n v="12000"/>
    <n v="5"/>
    <n v="0.05"/>
    <x v="83"/>
    <n v="19297.7"/>
    <d v="2025-12-19T18:29:06"/>
    <x v="0"/>
  </r>
  <r>
    <n v="1153"/>
    <d v="2024-01-27T00:00:00"/>
    <s v="C002"/>
    <s v="Neha Verma"/>
    <x v="2"/>
    <x v="1"/>
    <x v="1"/>
    <n v="200"/>
    <n v="1"/>
    <n v="0.15"/>
    <x v="97"/>
    <n v="28.55"/>
    <d v="2025-12-19T18:29:06"/>
    <x v="0"/>
  </r>
  <r>
    <n v="1154"/>
    <d v="2024-04-21T00:00:00"/>
    <s v="C011"/>
    <s v="Rahul Khanna"/>
    <x v="3"/>
    <x v="0"/>
    <x v="4"/>
    <n v="55000"/>
    <n v="2"/>
    <n v="0"/>
    <x v="3"/>
    <n v="22457"/>
    <d v="2025-12-19T18:29:06"/>
    <x v="3"/>
  </r>
  <r>
    <n v="1155"/>
    <d v="2024-01-20T00:00:00"/>
    <s v="C004"/>
    <s v="Priya Patel"/>
    <x v="0"/>
    <x v="0"/>
    <x v="7"/>
    <n v="18000"/>
    <n v="3"/>
    <n v="0.15"/>
    <x v="98"/>
    <n v="10605.23"/>
    <d v="2025-12-19T18:29:06"/>
    <x v="0"/>
  </r>
  <r>
    <n v="1156"/>
    <d v="2024-02-25T00:00:00"/>
    <s v="C011"/>
    <s v="Rahul Khanna"/>
    <x v="1"/>
    <x v="1"/>
    <x v="5"/>
    <n v="350"/>
    <n v="2"/>
    <n v="0.1"/>
    <x v="25"/>
    <n v="150.91999999999999"/>
    <d v="2025-12-19T18:29:06"/>
    <x v="2"/>
  </r>
  <r>
    <n v="1157"/>
    <d v="2024-05-02T00:00:00"/>
    <s v="C009"/>
    <s v="Vikas Gupta"/>
    <x v="1"/>
    <x v="1"/>
    <x v="1"/>
    <n v="200"/>
    <n v="3"/>
    <n v="0"/>
    <x v="47"/>
    <n v="115.16"/>
    <d v="2025-12-19T18:29:06"/>
    <x v="1"/>
  </r>
  <r>
    <n v="1158"/>
    <d v="2024-03-12T00:00:00"/>
    <s v="C007"/>
    <s v="Arjun Rao"/>
    <x v="1"/>
    <x v="1"/>
    <x v="8"/>
    <n v="500"/>
    <n v="4"/>
    <n v="0"/>
    <x v="82"/>
    <n v="618.70000000000005"/>
    <d v="2025-12-19T18:29:06"/>
    <x v="4"/>
  </r>
  <r>
    <n v="1159"/>
    <d v="2024-04-04T00:00:00"/>
    <s v="C012"/>
    <s v="Simran Kaur"/>
    <x v="1"/>
    <x v="2"/>
    <x v="9"/>
    <n v="12000"/>
    <n v="4"/>
    <n v="0.1"/>
    <x v="99"/>
    <n v="7906.51"/>
    <d v="2025-12-19T18:29:06"/>
    <x v="3"/>
  </r>
  <r>
    <n v="1160"/>
    <d v="2024-03-19T00:00:00"/>
    <s v="C012"/>
    <s v="Simran Kaur"/>
    <x v="0"/>
    <x v="0"/>
    <x v="7"/>
    <n v="18000"/>
    <n v="1"/>
    <n v="0"/>
    <x v="100"/>
    <n v="2832.74"/>
    <d v="2025-12-19T18:29:06"/>
    <x v="4"/>
  </r>
  <r>
    <n v="1161"/>
    <d v="2024-03-15T00:00:00"/>
    <s v="C010"/>
    <s v="Anjali Das"/>
    <x v="3"/>
    <x v="1"/>
    <x v="5"/>
    <n v="350"/>
    <n v="5"/>
    <n v="0.05"/>
    <x v="9"/>
    <n v="409.68"/>
    <d v="2025-12-19T18:29:06"/>
    <x v="4"/>
  </r>
  <r>
    <n v="1162"/>
    <d v="2024-04-28T00:00:00"/>
    <s v="C010"/>
    <s v="Anjali Das"/>
    <x v="1"/>
    <x v="1"/>
    <x v="8"/>
    <n v="500"/>
    <n v="1"/>
    <n v="0.1"/>
    <x v="19"/>
    <n v="98.32"/>
    <d v="2025-12-19T18:29:06"/>
    <x v="3"/>
  </r>
  <r>
    <n v="1163"/>
    <d v="2024-06-01T00:00:00"/>
    <s v="C006"/>
    <s v="Sneha Iyer"/>
    <x v="2"/>
    <x v="0"/>
    <x v="7"/>
    <n v="18000"/>
    <n v="1"/>
    <n v="0.15"/>
    <x v="16"/>
    <n v="4822.43"/>
    <d v="2025-12-19T18:29:06"/>
    <x v="5"/>
  </r>
  <r>
    <n v="1164"/>
    <d v="2024-03-25T00:00:00"/>
    <s v="C010"/>
    <s v="Anjali Das"/>
    <x v="3"/>
    <x v="2"/>
    <x v="6"/>
    <n v="7500"/>
    <n v="4"/>
    <n v="0.15"/>
    <x v="29"/>
    <n v="6519.93"/>
    <d v="2025-12-19T18:29:06"/>
    <x v="4"/>
  </r>
  <r>
    <n v="1165"/>
    <d v="2024-03-03T00:00:00"/>
    <s v="C006"/>
    <s v="Sneha Iyer"/>
    <x v="2"/>
    <x v="0"/>
    <x v="2"/>
    <n v="22000"/>
    <n v="3"/>
    <n v="0.05"/>
    <x v="32"/>
    <n v="10196.11"/>
    <d v="2025-12-19T18:29:06"/>
    <x v="4"/>
  </r>
  <r>
    <n v="1166"/>
    <d v="2024-02-11T00:00:00"/>
    <s v="C010"/>
    <s v="Anjali Das"/>
    <x v="1"/>
    <x v="1"/>
    <x v="5"/>
    <n v="350"/>
    <n v="5"/>
    <n v="0.15"/>
    <x v="33"/>
    <n v="391.62"/>
    <d v="2025-12-19T18:29:06"/>
    <x v="2"/>
  </r>
  <r>
    <n v="1167"/>
    <d v="2024-05-05T00:00:00"/>
    <s v="C003"/>
    <s v="Rohit Singh"/>
    <x v="2"/>
    <x v="2"/>
    <x v="6"/>
    <n v="7500"/>
    <n v="3"/>
    <n v="0.1"/>
    <x v="71"/>
    <n v="5726.16"/>
    <d v="2025-12-19T18:29:06"/>
    <x v="1"/>
  </r>
  <r>
    <n v="1168"/>
    <d v="2024-03-18T00:00:00"/>
    <s v="C008"/>
    <s v="Pooja Nair"/>
    <x v="3"/>
    <x v="0"/>
    <x v="7"/>
    <n v="18000"/>
    <n v="2"/>
    <n v="0.15"/>
    <x v="58"/>
    <n v="9113.16"/>
    <d v="2025-12-19T18:29:06"/>
    <x v="4"/>
  </r>
  <r>
    <n v="1169"/>
    <d v="2024-06-21T00:00:00"/>
    <s v="C005"/>
    <s v="Karan Mehta"/>
    <x v="3"/>
    <x v="2"/>
    <x v="3"/>
    <n v="9500"/>
    <n v="3"/>
    <n v="0.15"/>
    <x v="61"/>
    <n v="3743.92"/>
    <d v="2025-12-19T18:29:06"/>
    <x v="5"/>
  </r>
  <r>
    <n v="1170"/>
    <d v="2024-02-27T00:00:00"/>
    <s v="C001"/>
    <s v="Amit Sharma"/>
    <x v="1"/>
    <x v="0"/>
    <x v="0"/>
    <n v="3000"/>
    <n v="4"/>
    <n v="0.05"/>
    <x v="44"/>
    <n v="1981.95"/>
    <d v="2025-12-19T18:29:06"/>
    <x v="2"/>
  </r>
  <r>
    <n v="1171"/>
    <d v="2024-05-29T00:00:00"/>
    <s v="C012"/>
    <s v="Simran Kaur"/>
    <x v="2"/>
    <x v="0"/>
    <x v="2"/>
    <n v="22000"/>
    <n v="4"/>
    <n v="0.15"/>
    <x v="101"/>
    <n v="23552.959999999999"/>
    <d v="2025-12-19T18:29:06"/>
    <x v="1"/>
  </r>
  <r>
    <n v="1172"/>
    <d v="2024-04-20T00:00:00"/>
    <s v="C008"/>
    <s v="Pooja Nair"/>
    <x v="2"/>
    <x v="2"/>
    <x v="9"/>
    <n v="12000"/>
    <n v="1"/>
    <n v="0"/>
    <x v="42"/>
    <n v="4147.17"/>
    <d v="2025-12-19T18:29:06"/>
    <x v="3"/>
  </r>
  <r>
    <n v="1173"/>
    <d v="2024-02-22T00:00:00"/>
    <s v="C006"/>
    <s v="Sneha Iyer"/>
    <x v="0"/>
    <x v="0"/>
    <x v="2"/>
    <n v="22000"/>
    <n v="1"/>
    <n v="0.1"/>
    <x v="102"/>
    <n v="3332.13"/>
    <d v="2025-12-19T18:29:06"/>
    <x v="2"/>
  </r>
  <r>
    <n v="1174"/>
    <d v="2024-01-28T00:00:00"/>
    <s v="C012"/>
    <s v="Simran Kaur"/>
    <x v="0"/>
    <x v="2"/>
    <x v="6"/>
    <n v="7500"/>
    <n v="4"/>
    <n v="0.15"/>
    <x v="29"/>
    <n v="5846.18"/>
    <d v="2025-12-19T18:29:06"/>
    <x v="0"/>
  </r>
  <r>
    <n v="1175"/>
    <d v="2024-03-16T00:00:00"/>
    <s v="C011"/>
    <s v="Rahul Khanna"/>
    <x v="3"/>
    <x v="0"/>
    <x v="7"/>
    <n v="18000"/>
    <n v="2"/>
    <n v="0.05"/>
    <x v="39"/>
    <n v="11582.62"/>
    <d v="2025-12-19T18:29:06"/>
    <x v="4"/>
  </r>
  <r>
    <n v="1176"/>
    <d v="2024-01-19T00:00:00"/>
    <s v="C002"/>
    <s v="Neha Verma"/>
    <x v="0"/>
    <x v="2"/>
    <x v="3"/>
    <n v="9500"/>
    <n v="3"/>
    <n v="0"/>
    <x v="66"/>
    <n v="5255.55"/>
    <d v="2025-12-19T18:29:06"/>
    <x v="0"/>
  </r>
  <r>
    <n v="1177"/>
    <d v="2024-04-21T00:00:00"/>
    <s v="C005"/>
    <s v="Karan Mehta"/>
    <x v="3"/>
    <x v="2"/>
    <x v="9"/>
    <n v="12000"/>
    <n v="3"/>
    <n v="0.15"/>
    <x v="58"/>
    <n v="5693.04"/>
    <d v="2025-12-19T18:29:06"/>
    <x v="3"/>
  </r>
  <r>
    <n v="1178"/>
    <d v="2024-01-31T00:00:00"/>
    <s v="C006"/>
    <s v="Sneha Iyer"/>
    <x v="2"/>
    <x v="1"/>
    <x v="5"/>
    <n v="350"/>
    <n v="5"/>
    <n v="0.1"/>
    <x v="103"/>
    <n v="307.57"/>
    <d v="2025-12-19T18:29:06"/>
    <x v="0"/>
  </r>
  <r>
    <n v="1179"/>
    <d v="2024-05-23T00:00:00"/>
    <s v="C009"/>
    <s v="Vikas Gupta"/>
    <x v="0"/>
    <x v="1"/>
    <x v="5"/>
    <n v="350"/>
    <n v="1"/>
    <n v="0.1"/>
    <x v="93"/>
    <n v="109.59"/>
    <d v="2025-12-19T18:29:06"/>
    <x v="1"/>
  </r>
  <r>
    <n v="1180"/>
    <d v="2024-03-17T00:00:00"/>
    <s v="C007"/>
    <s v="Arjun Rao"/>
    <x v="0"/>
    <x v="1"/>
    <x v="1"/>
    <n v="200"/>
    <n v="4"/>
    <n v="0.15"/>
    <x v="104"/>
    <n v="218.12"/>
    <d v="2025-12-19T18:29:06"/>
    <x v="4"/>
  </r>
  <r>
    <n v="1181"/>
    <d v="2024-04-12T00:00:00"/>
    <s v="C010"/>
    <s v="Anjali Das"/>
    <x v="3"/>
    <x v="0"/>
    <x v="7"/>
    <n v="18000"/>
    <n v="4"/>
    <n v="0.15"/>
    <x v="105"/>
    <n v="17738.349999999999"/>
    <d v="2025-12-19T18:29:06"/>
    <x v="3"/>
  </r>
  <r>
    <n v="1182"/>
    <d v="2024-01-08T00:00:00"/>
    <s v="C008"/>
    <s v="Pooja Nair"/>
    <x v="3"/>
    <x v="2"/>
    <x v="9"/>
    <n v="12000"/>
    <n v="1"/>
    <n v="0.05"/>
    <x v="44"/>
    <n v="3167.77"/>
    <d v="2025-12-19T18:29:06"/>
    <x v="0"/>
  </r>
  <r>
    <n v="1183"/>
    <d v="2024-03-03T00:00:00"/>
    <s v="C008"/>
    <s v="Pooja Nair"/>
    <x v="2"/>
    <x v="1"/>
    <x v="1"/>
    <n v="200"/>
    <n v="5"/>
    <n v="0.15"/>
    <x v="64"/>
    <n v="257.86"/>
    <d v="2025-12-19T18:29:06"/>
    <x v="4"/>
  </r>
  <r>
    <n v="1184"/>
    <d v="2024-04-03T00:00:00"/>
    <s v="C006"/>
    <s v="Sneha Iyer"/>
    <x v="1"/>
    <x v="1"/>
    <x v="5"/>
    <n v="350"/>
    <n v="4"/>
    <n v="0"/>
    <x v="106"/>
    <n v="377.21"/>
    <d v="2025-12-19T18:29:06"/>
    <x v="3"/>
  </r>
  <r>
    <n v="1185"/>
    <d v="2024-05-27T00:00:00"/>
    <s v="C001"/>
    <s v="Amit Sharma"/>
    <x v="3"/>
    <x v="1"/>
    <x v="1"/>
    <n v="200"/>
    <n v="4"/>
    <n v="0.15"/>
    <x v="104"/>
    <n v="146.76"/>
    <d v="2025-12-19T18:29:06"/>
    <x v="1"/>
  </r>
  <r>
    <n v="1186"/>
    <d v="2024-03-15T00:00:00"/>
    <s v="C004"/>
    <s v="Priya Patel"/>
    <x v="1"/>
    <x v="1"/>
    <x v="5"/>
    <n v="350"/>
    <n v="4"/>
    <n v="0"/>
    <x v="106"/>
    <n v="278.35000000000002"/>
    <d v="2025-12-19T18:29:06"/>
    <x v="4"/>
  </r>
  <r>
    <n v="1187"/>
    <d v="2024-04-27T00:00:00"/>
    <s v="C003"/>
    <s v="Rohit Singh"/>
    <x v="0"/>
    <x v="0"/>
    <x v="7"/>
    <n v="18000"/>
    <n v="4"/>
    <n v="0.1"/>
    <x v="107"/>
    <n v="14652.96"/>
    <d v="2025-12-19T18:29:06"/>
    <x v="3"/>
  </r>
  <r>
    <n v="1188"/>
    <d v="2024-01-16T00:00:00"/>
    <s v="C011"/>
    <s v="Rahul Khanna"/>
    <x v="2"/>
    <x v="1"/>
    <x v="1"/>
    <n v="200"/>
    <n v="2"/>
    <n v="0.1"/>
    <x v="28"/>
    <n v="59.92"/>
    <d v="2025-12-19T18:29:06"/>
    <x v="0"/>
  </r>
  <r>
    <n v="1189"/>
    <d v="2024-03-12T00:00:00"/>
    <s v="C010"/>
    <s v="Anjali Das"/>
    <x v="0"/>
    <x v="1"/>
    <x v="8"/>
    <n v="500"/>
    <n v="3"/>
    <n v="0.15"/>
    <x v="108"/>
    <n v="255.73"/>
    <d v="2025-12-19T18:29:06"/>
    <x v="4"/>
  </r>
  <r>
    <n v="1190"/>
    <d v="2024-05-03T00:00:00"/>
    <s v="C012"/>
    <s v="Simran Kaur"/>
    <x v="2"/>
    <x v="2"/>
    <x v="6"/>
    <n v="7500"/>
    <n v="1"/>
    <n v="0.15"/>
    <x v="36"/>
    <n v="1469.81"/>
    <d v="2025-12-19T18:29:06"/>
    <x v="1"/>
  </r>
  <r>
    <n v="1191"/>
    <d v="2024-03-11T00:00:00"/>
    <s v="C009"/>
    <s v="Vikas Gupta"/>
    <x v="2"/>
    <x v="0"/>
    <x v="7"/>
    <n v="18000"/>
    <n v="1"/>
    <n v="0"/>
    <x v="100"/>
    <n v="3430.64"/>
    <d v="2025-12-19T18:29:06"/>
    <x v="4"/>
  </r>
  <r>
    <n v="1192"/>
    <d v="2024-01-15T00:00:00"/>
    <s v="C005"/>
    <s v="Karan Mehta"/>
    <x v="2"/>
    <x v="0"/>
    <x v="0"/>
    <n v="3000"/>
    <n v="2"/>
    <n v="0.05"/>
    <x v="78"/>
    <n v="1582.32"/>
    <d v="2025-12-19T18:29:06"/>
    <x v="0"/>
  </r>
  <r>
    <n v="1193"/>
    <d v="2024-01-26T00:00:00"/>
    <s v="C012"/>
    <s v="Simran Kaur"/>
    <x v="2"/>
    <x v="0"/>
    <x v="2"/>
    <n v="22000"/>
    <n v="2"/>
    <n v="0"/>
    <x v="109"/>
    <n v="11362.15"/>
    <d v="2025-12-19T18:29:06"/>
    <x v="0"/>
  </r>
  <r>
    <n v="1194"/>
    <d v="2024-04-27T00:00:00"/>
    <s v="C007"/>
    <s v="Arjun Rao"/>
    <x v="1"/>
    <x v="0"/>
    <x v="0"/>
    <n v="3000"/>
    <n v="3"/>
    <n v="0.05"/>
    <x v="87"/>
    <n v="2654.79"/>
    <d v="2025-12-19T18:29:06"/>
    <x v="3"/>
  </r>
  <r>
    <n v="1195"/>
    <d v="2024-01-04T00:00:00"/>
    <s v="C006"/>
    <s v="Sneha Iyer"/>
    <x v="3"/>
    <x v="1"/>
    <x v="8"/>
    <n v="500"/>
    <n v="5"/>
    <n v="0.05"/>
    <x v="37"/>
    <n v="577.41"/>
    <d v="2025-12-19T18:29:06"/>
    <x v="0"/>
  </r>
  <r>
    <n v="1196"/>
    <d v="2024-04-06T00:00:00"/>
    <s v="C006"/>
    <s v="Sneha Iyer"/>
    <x v="3"/>
    <x v="2"/>
    <x v="6"/>
    <n v="7500"/>
    <n v="2"/>
    <n v="0"/>
    <x v="70"/>
    <n v="4700.28"/>
    <d v="2025-12-19T18:29:06"/>
    <x v="3"/>
  </r>
  <r>
    <n v="1197"/>
    <d v="2024-04-26T00:00:00"/>
    <s v="C001"/>
    <s v="Amit Sharma"/>
    <x v="0"/>
    <x v="2"/>
    <x v="6"/>
    <n v="7500"/>
    <n v="2"/>
    <n v="0.1"/>
    <x v="45"/>
    <n v="2719.35"/>
    <d v="2025-12-19T18:29:06"/>
    <x v="3"/>
  </r>
  <r>
    <n v="1198"/>
    <d v="2024-04-24T00:00:00"/>
    <s v="C009"/>
    <s v="Vikas Gupta"/>
    <x v="1"/>
    <x v="1"/>
    <x v="8"/>
    <n v="500"/>
    <n v="5"/>
    <n v="0"/>
    <x v="110"/>
    <n v="778.31"/>
    <d v="2025-12-19T18:29:06"/>
    <x v="3"/>
  </r>
  <r>
    <n v="1199"/>
    <d v="2024-02-02T00:00:00"/>
    <s v="C006"/>
    <s v="Sneha Iyer"/>
    <x v="1"/>
    <x v="0"/>
    <x v="0"/>
    <n v="3000"/>
    <n v="5"/>
    <n v="0.05"/>
    <x v="69"/>
    <n v="4964.3999999999996"/>
    <d v="2025-12-19T18:29:06"/>
    <x v="2"/>
  </r>
  <r>
    <n v="1200"/>
    <d v="2024-06-15T00:00:00"/>
    <s v="C006"/>
    <s v="Sneha Iyer"/>
    <x v="3"/>
    <x v="1"/>
    <x v="5"/>
    <n v="350"/>
    <n v="3"/>
    <n v="0"/>
    <x v="23"/>
    <n v="310.98"/>
    <d v="2025-12-19T18:29:06"/>
    <x v="5"/>
  </r>
  <r>
    <n v="1201"/>
    <d v="2024-06-04T00:00:00"/>
    <s v="C006"/>
    <s v="Sneha Iyer"/>
    <x v="0"/>
    <x v="0"/>
    <x v="0"/>
    <n v="3000"/>
    <n v="2"/>
    <n v="0.1"/>
    <x v="111"/>
    <n v="1496.54"/>
    <d v="2025-12-19T18:29:06"/>
    <x v="5"/>
  </r>
  <r>
    <n v="1202"/>
    <d v="2024-01-03T00:00:00"/>
    <s v="C001"/>
    <s v="Amit Sharma"/>
    <x v="3"/>
    <x v="2"/>
    <x v="3"/>
    <n v="9500"/>
    <n v="3"/>
    <n v="0"/>
    <x v="66"/>
    <n v="9520.84"/>
    <d v="2025-12-19T18:29:06"/>
    <x v="0"/>
  </r>
  <r>
    <n v="1203"/>
    <d v="2024-04-24T00:00:00"/>
    <s v="C006"/>
    <s v="Sneha Iyer"/>
    <x v="1"/>
    <x v="2"/>
    <x v="3"/>
    <n v="9500"/>
    <n v="1"/>
    <n v="0.05"/>
    <x v="112"/>
    <n v="2274.75"/>
    <d v="2025-12-19T18:29:06"/>
    <x v="3"/>
  </r>
  <r>
    <n v="1204"/>
    <d v="2024-05-01T00:00:00"/>
    <s v="C008"/>
    <s v="Pooja Nair"/>
    <x v="2"/>
    <x v="1"/>
    <x v="1"/>
    <n v="200"/>
    <n v="4"/>
    <n v="0.05"/>
    <x v="85"/>
    <n v="154.87"/>
    <d v="2025-12-19T18:29:06"/>
    <x v="1"/>
  </r>
  <r>
    <n v="1205"/>
    <d v="2024-05-12T00:00:00"/>
    <s v="C002"/>
    <s v="Neha Verma"/>
    <x v="1"/>
    <x v="0"/>
    <x v="2"/>
    <n v="22000"/>
    <n v="2"/>
    <n v="0.1"/>
    <x v="113"/>
    <n v="10767.04"/>
    <d v="2025-12-19T18:29:06"/>
    <x v="1"/>
  </r>
  <r>
    <n v="1206"/>
    <d v="2024-04-08T00:00:00"/>
    <s v="C001"/>
    <s v="Amit Sharma"/>
    <x v="0"/>
    <x v="1"/>
    <x v="1"/>
    <n v="200"/>
    <n v="5"/>
    <n v="0.15"/>
    <x v="64"/>
    <n v="297.13"/>
    <d v="2025-12-19T18:29:06"/>
    <x v="3"/>
  </r>
  <r>
    <n v="1207"/>
    <d v="2024-02-10T00:00:00"/>
    <s v="C010"/>
    <s v="Anjali Das"/>
    <x v="3"/>
    <x v="0"/>
    <x v="0"/>
    <n v="3000"/>
    <n v="1"/>
    <n v="0.05"/>
    <x v="114"/>
    <n v="821.06"/>
    <d v="2025-12-19T18:29:06"/>
    <x v="2"/>
  </r>
  <r>
    <n v="1208"/>
    <d v="2024-01-16T00:00:00"/>
    <s v="C008"/>
    <s v="Pooja Nair"/>
    <x v="0"/>
    <x v="1"/>
    <x v="8"/>
    <n v="500"/>
    <n v="3"/>
    <n v="0.1"/>
    <x v="86"/>
    <n v="276.56"/>
    <d v="2025-12-19T18:29:06"/>
    <x v="0"/>
  </r>
  <r>
    <n v="1209"/>
    <d v="2024-03-31T00:00:00"/>
    <s v="C008"/>
    <s v="Pooja Nair"/>
    <x v="3"/>
    <x v="2"/>
    <x v="6"/>
    <n v="7500"/>
    <n v="4"/>
    <n v="0.1"/>
    <x v="115"/>
    <n v="9008.7099999999991"/>
    <d v="2025-12-19T18:29:06"/>
    <x v="4"/>
  </r>
  <r>
    <n v="1210"/>
    <d v="2024-03-26T00:00:00"/>
    <s v="C002"/>
    <s v="Neha Verma"/>
    <x v="2"/>
    <x v="2"/>
    <x v="9"/>
    <n v="12000"/>
    <n v="4"/>
    <n v="0.05"/>
    <x v="73"/>
    <n v="11560.25"/>
    <d v="2025-12-19T18:29:06"/>
    <x v="4"/>
  </r>
  <r>
    <n v="1211"/>
    <d v="2024-05-25T00:00:00"/>
    <s v="C005"/>
    <s v="Karan Mehta"/>
    <x v="3"/>
    <x v="0"/>
    <x v="7"/>
    <n v="18000"/>
    <n v="3"/>
    <n v="0.15"/>
    <x v="98"/>
    <n v="10978.05"/>
    <d v="2025-12-19T18:29:06"/>
    <x v="1"/>
  </r>
  <r>
    <n v="1212"/>
    <d v="2024-04-25T00:00:00"/>
    <s v="C001"/>
    <s v="Amit Sharma"/>
    <x v="3"/>
    <x v="2"/>
    <x v="9"/>
    <n v="12000"/>
    <n v="5"/>
    <n v="0"/>
    <x v="62"/>
    <n v="19316.21"/>
    <d v="2025-12-19T18:29:06"/>
    <x v="3"/>
  </r>
  <r>
    <n v="1213"/>
    <d v="2024-04-18T00:00:00"/>
    <s v="C011"/>
    <s v="Rahul Khanna"/>
    <x v="0"/>
    <x v="1"/>
    <x v="1"/>
    <n v="200"/>
    <n v="2"/>
    <n v="0"/>
    <x v="88"/>
    <n v="79.849999999999994"/>
    <d v="2025-12-19T18:29:06"/>
    <x v="3"/>
  </r>
  <r>
    <n v="1214"/>
    <d v="2024-06-08T00:00:00"/>
    <s v="C003"/>
    <s v="Rohit Singh"/>
    <x v="1"/>
    <x v="1"/>
    <x v="5"/>
    <n v="350"/>
    <n v="3"/>
    <n v="0"/>
    <x v="23"/>
    <n v="305.54000000000002"/>
    <d v="2025-12-19T18:29:06"/>
    <x v="5"/>
  </r>
  <r>
    <n v="1215"/>
    <d v="2024-04-03T00:00:00"/>
    <s v="C004"/>
    <s v="Priya Patel"/>
    <x v="1"/>
    <x v="2"/>
    <x v="6"/>
    <n v="7500"/>
    <n v="1"/>
    <n v="0"/>
    <x v="50"/>
    <n v="2062.46"/>
    <d v="2025-12-19T18:29:06"/>
    <x v="3"/>
  </r>
  <r>
    <n v="1216"/>
    <d v="2024-03-25T00:00:00"/>
    <s v="C009"/>
    <s v="Vikas Gupta"/>
    <x v="2"/>
    <x v="1"/>
    <x v="5"/>
    <n v="350"/>
    <n v="2"/>
    <n v="0.15"/>
    <x v="116"/>
    <n v="204.73"/>
    <d v="2025-12-19T18:29:06"/>
    <x v="4"/>
  </r>
  <r>
    <n v="1217"/>
    <d v="2024-04-07T00:00:00"/>
    <s v="C003"/>
    <s v="Rohit Singh"/>
    <x v="0"/>
    <x v="2"/>
    <x v="9"/>
    <n v="12000"/>
    <n v="5"/>
    <n v="0.1"/>
    <x v="89"/>
    <n v="9786.7900000000009"/>
    <d v="2025-12-19T18:29:06"/>
    <x v="3"/>
  </r>
  <r>
    <n v="1218"/>
    <d v="2024-04-30T00:00:00"/>
    <s v="C006"/>
    <s v="Sneha Iyer"/>
    <x v="3"/>
    <x v="0"/>
    <x v="2"/>
    <n v="22000"/>
    <n v="5"/>
    <n v="0.1"/>
    <x v="117"/>
    <n v="30738.76"/>
    <d v="2025-12-19T18:29:06"/>
    <x v="3"/>
  </r>
  <r>
    <n v="1219"/>
    <d v="2024-01-13T00:00:00"/>
    <s v="C004"/>
    <s v="Priya Patel"/>
    <x v="0"/>
    <x v="2"/>
    <x v="9"/>
    <n v="12000"/>
    <n v="2"/>
    <n v="0.15"/>
    <x v="56"/>
    <n v="6064"/>
    <d v="2025-12-19T18:29:06"/>
    <x v="0"/>
  </r>
  <r>
    <n v="1220"/>
    <d v="2024-02-29T00:00:00"/>
    <s v="C010"/>
    <s v="Anjali Das"/>
    <x v="1"/>
    <x v="2"/>
    <x v="9"/>
    <n v="12000"/>
    <n v="2"/>
    <n v="0"/>
    <x v="118"/>
    <n v="3970.02"/>
    <d v="2025-12-19T18:29:06"/>
    <x v="2"/>
  </r>
  <r>
    <n v="1221"/>
    <d v="2024-03-04T00:00:00"/>
    <s v="C011"/>
    <s v="Rahul Khanna"/>
    <x v="0"/>
    <x v="2"/>
    <x v="9"/>
    <n v="12000"/>
    <n v="1"/>
    <n v="0.15"/>
    <x v="74"/>
    <n v="3460.46"/>
    <d v="2025-12-19T18:29:06"/>
    <x v="4"/>
  </r>
  <r>
    <n v="1222"/>
    <d v="2024-04-06T00:00:00"/>
    <s v="C002"/>
    <s v="Neha Verma"/>
    <x v="1"/>
    <x v="0"/>
    <x v="0"/>
    <n v="3000"/>
    <n v="3"/>
    <n v="0"/>
    <x v="72"/>
    <n v="2248.89"/>
    <d v="2025-12-19T18:29:06"/>
    <x v="3"/>
  </r>
  <r>
    <n v="1223"/>
    <d v="2024-03-09T00:00:00"/>
    <s v="C001"/>
    <s v="Amit Sharma"/>
    <x v="0"/>
    <x v="0"/>
    <x v="0"/>
    <n v="3000"/>
    <n v="5"/>
    <n v="0.1"/>
    <x v="45"/>
    <n v="2952.52"/>
    <d v="2025-12-19T18:29:06"/>
    <x v="4"/>
  </r>
  <r>
    <n v="1224"/>
    <d v="2024-03-18T00:00:00"/>
    <s v="C007"/>
    <s v="Arjun Rao"/>
    <x v="2"/>
    <x v="1"/>
    <x v="5"/>
    <n v="350"/>
    <n v="1"/>
    <n v="0"/>
    <x v="10"/>
    <n v="103.19"/>
    <d v="2025-12-19T18:29:06"/>
    <x v="4"/>
  </r>
  <r>
    <n v="1225"/>
    <d v="2024-05-08T00:00:00"/>
    <s v="C003"/>
    <s v="Rohit Singh"/>
    <x v="3"/>
    <x v="2"/>
    <x v="3"/>
    <n v="9500"/>
    <n v="1"/>
    <n v="0.15"/>
    <x v="68"/>
    <n v="2527.04"/>
    <d v="2025-12-19T18:29:06"/>
    <x v="1"/>
  </r>
  <r>
    <n v="1226"/>
    <d v="2024-04-12T00:00:00"/>
    <s v="C002"/>
    <s v="Neha Verma"/>
    <x v="2"/>
    <x v="2"/>
    <x v="9"/>
    <n v="12000"/>
    <n v="3"/>
    <n v="0.1"/>
    <x v="30"/>
    <n v="7212.64"/>
    <d v="2025-12-19T18:29:06"/>
    <x v="3"/>
  </r>
  <r>
    <n v="1227"/>
    <d v="2024-04-21T00:00:00"/>
    <s v="C004"/>
    <s v="Priya Patel"/>
    <x v="0"/>
    <x v="0"/>
    <x v="2"/>
    <n v="22000"/>
    <n v="3"/>
    <n v="0.05"/>
    <x v="32"/>
    <n v="16961.28"/>
    <d v="2025-12-19T18:29:06"/>
    <x v="3"/>
  </r>
  <r>
    <n v="1228"/>
    <d v="2024-05-09T00:00:00"/>
    <s v="C008"/>
    <s v="Pooja Nair"/>
    <x v="3"/>
    <x v="1"/>
    <x v="8"/>
    <n v="500"/>
    <n v="3"/>
    <n v="0.15"/>
    <x v="108"/>
    <n v="279.92"/>
    <d v="2025-12-19T18:29:06"/>
    <x v="1"/>
  </r>
  <r>
    <n v="1229"/>
    <d v="2024-01-20T00:00:00"/>
    <s v="C006"/>
    <s v="Sneha Iyer"/>
    <x v="3"/>
    <x v="0"/>
    <x v="7"/>
    <n v="18000"/>
    <n v="2"/>
    <n v="0.1"/>
    <x v="30"/>
    <n v="6573.97"/>
    <d v="2025-12-19T18:29:06"/>
    <x v="0"/>
  </r>
  <r>
    <n v="1230"/>
    <d v="2024-01-27T00:00:00"/>
    <s v="C010"/>
    <s v="Anjali Das"/>
    <x v="2"/>
    <x v="2"/>
    <x v="9"/>
    <n v="12000"/>
    <n v="1"/>
    <n v="0"/>
    <x v="42"/>
    <n v="3822.65"/>
    <d v="2025-12-19T18:29:06"/>
    <x v="0"/>
  </r>
  <r>
    <n v="1231"/>
    <d v="2024-06-13T00:00:00"/>
    <s v="C001"/>
    <s v="Amit Sharma"/>
    <x v="0"/>
    <x v="2"/>
    <x v="9"/>
    <n v="12000"/>
    <n v="1"/>
    <n v="0.1"/>
    <x v="119"/>
    <n v="2875.9"/>
    <d v="2025-12-19T18:29:06"/>
    <x v="5"/>
  </r>
  <r>
    <n v="1232"/>
    <d v="2024-02-01T00:00:00"/>
    <s v="C008"/>
    <s v="Pooja Nair"/>
    <x v="2"/>
    <x v="0"/>
    <x v="7"/>
    <n v="18000"/>
    <n v="5"/>
    <n v="0.05"/>
    <x v="120"/>
    <n v="14241.63"/>
    <d v="2025-12-19T18:29:06"/>
    <x v="2"/>
  </r>
  <r>
    <n v="1233"/>
    <d v="2024-02-25T00:00:00"/>
    <s v="C003"/>
    <s v="Rohit Singh"/>
    <x v="2"/>
    <x v="1"/>
    <x v="8"/>
    <n v="500"/>
    <n v="2"/>
    <n v="0"/>
    <x v="1"/>
    <n v="229.4"/>
    <d v="2025-12-19T18:29:06"/>
    <x v="2"/>
  </r>
  <r>
    <n v="1234"/>
    <d v="2024-01-25T00:00:00"/>
    <s v="C002"/>
    <s v="Neha Verma"/>
    <x v="1"/>
    <x v="0"/>
    <x v="7"/>
    <n v="18000"/>
    <n v="5"/>
    <n v="0.05"/>
    <x v="120"/>
    <n v="22577.16"/>
    <d v="2025-12-19T18:29:06"/>
    <x v="0"/>
  </r>
  <r>
    <n v="1235"/>
    <d v="2024-05-14T00:00:00"/>
    <s v="C005"/>
    <s v="Karan Mehta"/>
    <x v="2"/>
    <x v="1"/>
    <x v="5"/>
    <n v="350"/>
    <n v="5"/>
    <n v="0.05"/>
    <x v="9"/>
    <n v="405.81"/>
    <d v="2025-12-19T18:29:06"/>
    <x v="1"/>
  </r>
  <r>
    <n v="1236"/>
    <d v="2024-02-12T00:00:00"/>
    <s v="C010"/>
    <s v="Anjali Das"/>
    <x v="1"/>
    <x v="0"/>
    <x v="4"/>
    <n v="55000"/>
    <n v="1"/>
    <n v="0.1"/>
    <x v="121"/>
    <n v="14867.48"/>
    <d v="2025-12-19T18:29:06"/>
    <x v="2"/>
  </r>
  <r>
    <n v="1237"/>
    <d v="2024-05-29T00:00:00"/>
    <s v="C004"/>
    <s v="Priya Patel"/>
    <x v="1"/>
    <x v="2"/>
    <x v="3"/>
    <n v="9500"/>
    <n v="5"/>
    <n v="0.15"/>
    <x v="11"/>
    <n v="8416.4599999999991"/>
    <d v="2025-12-19T18:29:06"/>
    <x v="1"/>
  </r>
  <r>
    <n v="1238"/>
    <d v="2024-05-22T00:00:00"/>
    <s v="C006"/>
    <s v="Sneha Iyer"/>
    <x v="0"/>
    <x v="0"/>
    <x v="2"/>
    <n v="22000"/>
    <n v="3"/>
    <n v="0"/>
    <x v="40"/>
    <n v="14332.36"/>
    <d v="2025-12-19T18:29:06"/>
    <x v="1"/>
  </r>
  <r>
    <n v="1239"/>
    <d v="2024-03-04T00:00:00"/>
    <s v="C009"/>
    <s v="Vikas Gupta"/>
    <x v="1"/>
    <x v="0"/>
    <x v="2"/>
    <n v="22000"/>
    <n v="1"/>
    <n v="0.05"/>
    <x v="122"/>
    <n v="5351.17"/>
    <d v="2025-12-19T18:29:06"/>
    <x v="4"/>
  </r>
  <r>
    <n v="1240"/>
    <d v="2024-02-01T00:00:00"/>
    <s v="C009"/>
    <s v="Vikas Gupta"/>
    <x v="1"/>
    <x v="0"/>
    <x v="0"/>
    <n v="3000"/>
    <n v="5"/>
    <n v="0.05"/>
    <x v="69"/>
    <n v="3243.86"/>
    <d v="2025-12-19T18:29:06"/>
    <x v="2"/>
  </r>
  <r>
    <n v="1241"/>
    <d v="2024-04-08T00:00:00"/>
    <s v="C006"/>
    <s v="Sneha Iyer"/>
    <x v="1"/>
    <x v="0"/>
    <x v="2"/>
    <n v="22000"/>
    <n v="3"/>
    <n v="0"/>
    <x v="40"/>
    <n v="12610.61"/>
    <d v="2025-12-19T18:29:06"/>
    <x v="3"/>
  </r>
  <r>
    <n v="1242"/>
    <d v="2024-06-24T00:00:00"/>
    <s v="C004"/>
    <s v="Priya Patel"/>
    <x v="0"/>
    <x v="0"/>
    <x v="0"/>
    <n v="3000"/>
    <n v="1"/>
    <n v="0.05"/>
    <x v="114"/>
    <n v="627.55999999999995"/>
    <d v="2025-12-19T18:29:06"/>
    <x v="5"/>
  </r>
  <r>
    <n v="1243"/>
    <d v="2024-05-30T00:00:00"/>
    <s v="C010"/>
    <s v="Anjali Das"/>
    <x v="0"/>
    <x v="0"/>
    <x v="0"/>
    <n v="3000"/>
    <n v="4"/>
    <n v="0.05"/>
    <x v="44"/>
    <n v="3957.89"/>
    <d v="2025-12-19T18:29:06"/>
    <x v="1"/>
  </r>
  <r>
    <n v="1244"/>
    <d v="2024-02-19T00:00:00"/>
    <s v="C012"/>
    <s v="Simran Kaur"/>
    <x v="2"/>
    <x v="2"/>
    <x v="9"/>
    <n v="12000"/>
    <n v="3"/>
    <n v="0.15"/>
    <x v="58"/>
    <n v="8755.4"/>
    <d v="2025-12-19T18:29:06"/>
    <x v="2"/>
  </r>
  <r>
    <n v="1245"/>
    <d v="2024-05-31T00:00:00"/>
    <s v="C009"/>
    <s v="Vikas Gupta"/>
    <x v="1"/>
    <x v="1"/>
    <x v="5"/>
    <n v="350"/>
    <n v="5"/>
    <n v="0.15"/>
    <x v="33"/>
    <n v="407.67"/>
    <d v="2025-12-19T18:29:06"/>
    <x v="1"/>
  </r>
  <r>
    <n v="1246"/>
    <d v="2024-02-13T00:00:00"/>
    <s v="C007"/>
    <s v="Arjun Rao"/>
    <x v="1"/>
    <x v="0"/>
    <x v="7"/>
    <n v="18000"/>
    <n v="2"/>
    <n v="0.15"/>
    <x v="58"/>
    <n v="7846.72"/>
    <d v="2025-12-19T18:29:06"/>
    <x v="2"/>
  </r>
  <r>
    <n v="1247"/>
    <d v="2024-05-03T00:00:00"/>
    <s v="C010"/>
    <s v="Anjali Das"/>
    <x v="3"/>
    <x v="0"/>
    <x v="7"/>
    <n v="18000"/>
    <n v="4"/>
    <n v="0.05"/>
    <x v="46"/>
    <n v="16229.32"/>
    <d v="2025-12-19T18:29:06"/>
    <x v="1"/>
  </r>
  <r>
    <n v="1248"/>
    <d v="2024-03-22T00:00:00"/>
    <s v="C011"/>
    <s v="Rahul Khanna"/>
    <x v="3"/>
    <x v="0"/>
    <x v="4"/>
    <n v="55000"/>
    <n v="1"/>
    <n v="0.05"/>
    <x v="123"/>
    <n v="17435.759999999998"/>
    <d v="2025-12-19T18:29:06"/>
    <x v="4"/>
  </r>
  <r>
    <n v="1249"/>
    <d v="2024-02-27T00:00:00"/>
    <s v="C002"/>
    <s v="Neha Verma"/>
    <x v="1"/>
    <x v="0"/>
    <x v="4"/>
    <n v="55000"/>
    <n v="4"/>
    <n v="0.05"/>
    <x v="124"/>
    <n v="38296.47"/>
    <d v="2025-12-19T18:29:06"/>
    <x v="2"/>
  </r>
  <r>
    <n v="1250"/>
    <d v="2024-01-20T00:00:00"/>
    <s v="C011"/>
    <s v="Rahul Khanna"/>
    <x v="0"/>
    <x v="0"/>
    <x v="2"/>
    <n v="22000"/>
    <n v="4"/>
    <n v="0"/>
    <x v="125"/>
    <n v="16500.2"/>
    <d v="2025-12-19T18:29:06"/>
    <x v="0"/>
  </r>
  <r>
    <n v="1251"/>
    <d v="2024-04-14T00:00:00"/>
    <s v="C003"/>
    <s v="Rohit Singh"/>
    <x v="0"/>
    <x v="1"/>
    <x v="8"/>
    <n v="500"/>
    <n v="3"/>
    <n v="0"/>
    <x v="76"/>
    <n v="331.28"/>
    <d v="2025-12-19T18:29:06"/>
    <x v="3"/>
  </r>
  <r>
    <n v="1252"/>
    <d v="2024-04-06T00:00:00"/>
    <s v="C002"/>
    <s v="Neha Verma"/>
    <x v="2"/>
    <x v="1"/>
    <x v="1"/>
    <n v="200"/>
    <n v="5"/>
    <n v="0.1"/>
    <x v="2"/>
    <n v="183.11"/>
    <d v="2025-12-19T18:29:06"/>
    <x v="3"/>
  </r>
  <r>
    <n v="1253"/>
    <d v="2024-01-11T00:00:00"/>
    <s v="C008"/>
    <s v="Pooja Nair"/>
    <x v="1"/>
    <x v="2"/>
    <x v="9"/>
    <n v="12000"/>
    <n v="5"/>
    <n v="0.05"/>
    <x v="83"/>
    <n v="15707.32"/>
    <d v="2025-12-19T18:29:06"/>
    <x v="0"/>
  </r>
  <r>
    <n v="1254"/>
    <d v="2024-03-11T00:00:00"/>
    <s v="C011"/>
    <s v="Rahul Khanna"/>
    <x v="2"/>
    <x v="2"/>
    <x v="6"/>
    <n v="7500"/>
    <n v="3"/>
    <n v="0.05"/>
    <x v="14"/>
    <n v="3466.81"/>
    <d v="2025-12-19T18:29:06"/>
    <x v="4"/>
  </r>
  <r>
    <n v="1255"/>
    <d v="2024-06-25T00:00:00"/>
    <s v="C002"/>
    <s v="Neha Verma"/>
    <x v="3"/>
    <x v="0"/>
    <x v="2"/>
    <n v="22000"/>
    <n v="2"/>
    <n v="0.15"/>
    <x v="7"/>
    <n v="12501.19"/>
    <d v="2025-12-19T18:29:06"/>
    <x v="5"/>
  </r>
  <r>
    <n v="1256"/>
    <d v="2024-01-27T00:00:00"/>
    <s v="C005"/>
    <s v="Karan Mehta"/>
    <x v="3"/>
    <x v="0"/>
    <x v="2"/>
    <n v="22000"/>
    <n v="1"/>
    <n v="0.15"/>
    <x v="126"/>
    <n v="6005.17"/>
    <d v="2025-12-19T18:29:06"/>
    <x v="0"/>
  </r>
  <r>
    <n v="1257"/>
    <d v="2024-06-27T00:00:00"/>
    <s v="C002"/>
    <s v="Neha Verma"/>
    <x v="3"/>
    <x v="1"/>
    <x v="8"/>
    <n v="500"/>
    <n v="3"/>
    <n v="0.1"/>
    <x v="86"/>
    <n v="211.56"/>
    <d v="2025-12-19T18:29:06"/>
    <x v="5"/>
  </r>
  <r>
    <n v="1258"/>
    <d v="2024-01-24T00:00:00"/>
    <s v="C009"/>
    <s v="Vikas Gupta"/>
    <x v="3"/>
    <x v="2"/>
    <x v="3"/>
    <n v="9500"/>
    <n v="4"/>
    <n v="0.05"/>
    <x v="127"/>
    <n v="6128.28"/>
    <d v="2025-12-19T18:29:06"/>
    <x v="0"/>
  </r>
  <r>
    <n v="1259"/>
    <d v="2024-01-02T00:00:00"/>
    <s v="C012"/>
    <s v="Simran Kaur"/>
    <x v="3"/>
    <x v="2"/>
    <x v="3"/>
    <n v="9500"/>
    <n v="2"/>
    <n v="0.05"/>
    <x v="6"/>
    <n v="2935.88"/>
    <d v="2025-12-19T18:29:06"/>
    <x v="0"/>
  </r>
  <r>
    <n v="1260"/>
    <d v="2024-03-10T00:00:00"/>
    <s v="C007"/>
    <s v="Arjun Rao"/>
    <x v="0"/>
    <x v="2"/>
    <x v="3"/>
    <n v="9500"/>
    <n v="4"/>
    <n v="0"/>
    <x v="128"/>
    <n v="8794.1299999999992"/>
    <d v="2025-12-19T18:29:06"/>
    <x v="4"/>
  </r>
  <r>
    <n v="1261"/>
    <d v="2024-01-02T00:00:00"/>
    <s v="C011"/>
    <s v="Rahul Khanna"/>
    <x v="3"/>
    <x v="1"/>
    <x v="8"/>
    <n v="500"/>
    <n v="3"/>
    <n v="0.1"/>
    <x v="86"/>
    <n v="424.53"/>
    <d v="2025-12-19T18:29:06"/>
    <x v="0"/>
  </r>
  <r>
    <n v="1262"/>
    <d v="2024-03-29T00:00:00"/>
    <s v="C004"/>
    <s v="Priya Patel"/>
    <x v="2"/>
    <x v="0"/>
    <x v="4"/>
    <n v="55000"/>
    <n v="1"/>
    <n v="0.05"/>
    <x v="123"/>
    <n v="14430.48"/>
    <d v="2025-12-19T18:29:06"/>
    <x v="4"/>
  </r>
  <r>
    <n v="1263"/>
    <d v="2024-03-03T00:00:00"/>
    <s v="C001"/>
    <s v="Amit Sharma"/>
    <x v="2"/>
    <x v="0"/>
    <x v="7"/>
    <n v="18000"/>
    <n v="3"/>
    <n v="0"/>
    <x v="89"/>
    <n v="10788.55"/>
    <d v="2025-12-19T18:29:06"/>
    <x v="4"/>
  </r>
  <r>
    <n v="1264"/>
    <d v="2024-06-17T00:00:00"/>
    <s v="C011"/>
    <s v="Rahul Khanna"/>
    <x v="3"/>
    <x v="1"/>
    <x v="5"/>
    <n v="350"/>
    <n v="3"/>
    <n v="0.15"/>
    <x v="38"/>
    <n v="156.54"/>
    <d v="2025-12-19T18:29:06"/>
    <x v="5"/>
  </r>
  <r>
    <n v="1265"/>
    <d v="2024-06-09T00:00:00"/>
    <s v="C012"/>
    <s v="Simran Kaur"/>
    <x v="3"/>
    <x v="2"/>
    <x v="6"/>
    <n v="7500"/>
    <n v="3"/>
    <n v="0"/>
    <x v="129"/>
    <n v="6734.32"/>
    <d v="2025-12-19T18:29:06"/>
    <x v="5"/>
  </r>
  <r>
    <n v="1266"/>
    <d v="2024-06-01T00:00:00"/>
    <s v="C009"/>
    <s v="Vikas Gupta"/>
    <x v="1"/>
    <x v="2"/>
    <x v="6"/>
    <n v="7500"/>
    <n v="5"/>
    <n v="0.1"/>
    <x v="130"/>
    <n v="9054.07"/>
    <d v="2025-12-19T18:29:06"/>
    <x v="5"/>
  </r>
  <r>
    <n v="1267"/>
    <d v="2024-03-19T00:00:00"/>
    <s v="C001"/>
    <s v="Amit Sharma"/>
    <x v="2"/>
    <x v="2"/>
    <x v="9"/>
    <n v="12000"/>
    <n v="2"/>
    <n v="0.1"/>
    <x v="96"/>
    <n v="3389.86"/>
    <d v="2025-12-19T18:29:06"/>
    <x v="4"/>
  </r>
  <r>
    <n v="1268"/>
    <d v="2024-04-20T00:00:00"/>
    <s v="C005"/>
    <s v="Karan Mehta"/>
    <x v="3"/>
    <x v="1"/>
    <x v="1"/>
    <n v="200"/>
    <n v="2"/>
    <n v="0.15"/>
    <x v="131"/>
    <n v="93.02"/>
    <d v="2025-12-19T18:29:06"/>
    <x v="3"/>
  </r>
  <r>
    <n v="1269"/>
    <d v="2024-04-15T00:00:00"/>
    <s v="C010"/>
    <s v="Anjali Das"/>
    <x v="0"/>
    <x v="0"/>
    <x v="4"/>
    <n v="55000"/>
    <n v="3"/>
    <n v="0.05"/>
    <x v="132"/>
    <n v="44431.09"/>
    <d v="2025-12-19T18:29:06"/>
    <x v="3"/>
  </r>
  <r>
    <n v="1270"/>
    <d v="2024-06-17T00:00:00"/>
    <s v="C001"/>
    <s v="Amit Sharma"/>
    <x v="2"/>
    <x v="2"/>
    <x v="3"/>
    <n v="9500"/>
    <n v="2"/>
    <n v="0.05"/>
    <x v="6"/>
    <n v="5347.59"/>
    <d v="2025-12-19T18:29:06"/>
    <x v="5"/>
  </r>
  <r>
    <n v="1271"/>
    <d v="2024-01-17T00:00:00"/>
    <s v="C006"/>
    <s v="Sneha Iyer"/>
    <x v="1"/>
    <x v="2"/>
    <x v="6"/>
    <n v="7500"/>
    <n v="2"/>
    <n v="0.1"/>
    <x v="45"/>
    <n v="2530.52"/>
    <d v="2025-12-19T18:29:06"/>
    <x v="0"/>
  </r>
  <r>
    <n v="1272"/>
    <d v="2024-05-31T00:00:00"/>
    <s v="C005"/>
    <s v="Karan Mehta"/>
    <x v="0"/>
    <x v="2"/>
    <x v="3"/>
    <n v="9500"/>
    <n v="3"/>
    <n v="0.1"/>
    <x v="133"/>
    <n v="4281.93"/>
    <d v="2025-12-19T18:29:06"/>
    <x v="1"/>
  </r>
  <r>
    <n v="1273"/>
    <d v="2024-06-19T00:00:00"/>
    <s v="C005"/>
    <s v="Karan Mehta"/>
    <x v="0"/>
    <x v="1"/>
    <x v="5"/>
    <n v="350"/>
    <n v="1"/>
    <n v="0.1"/>
    <x v="93"/>
    <n v="78.680000000000007"/>
    <d v="2025-12-19T18:29:06"/>
    <x v="5"/>
  </r>
  <r>
    <n v="1274"/>
    <d v="2024-05-12T00:00:00"/>
    <s v="C009"/>
    <s v="Vikas Gupta"/>
    <x v="0"/>
    <x v="0"/>
    <x v="7"/>
    <n v="18000"/>
    <n v="2"/>
    <n v="0.1"/>
    <x v="30"/>
    <n v="7482.6"/>
    <d v="2025-12-19T18:29:06"/>
    <x v="1"/>
  </r>
  <r>
    <n v="1275"/>
    <d v="2024-02-09T00:00:00"/>
    <s v="C010"/>
    <s v="Anjali Das"/>
    <x v="2"/>
    <x v="0"/>
    <x v="4"/>
    <n v="55000"/>
    <n v="5"/>
    <n v="0.15"/>
    <x v="134"/>
    <n v="35148.239999999998"/>
    <d v="2025-12-19T18:29:06"/>
    <x v="2"/>
  </r>
  <r>
    <n v="1276"/>
    <d v="2024-06-14T00:00:00"/>
    <s v="C009"/>
    <s v="Vikas Gupta"/>
    <x v="3"/>
    <x v="0"/>
    <x v="2"/>
    <n v="22000"/>
    <n v="1"/>
    <n v="0.1"/>
    <x v="102"/>
    <n v="4337.67"/>
    <d v="2025-12-19T18:29:06"/>
    <x v="5"/>
  </r>
  <r>
    <n v="1277"/>
    <d v="2024-02-04T00:00:00"/>
    <s v="C011"/>
    <s v="Rahul Khanna"/>
    <x v="2"/>
    <x v="1"/>
    <x v="5"/>
    <n v="350"/>
    <n v="5"/>
    <n v="0"/>
    <x v="135"/>
    <n v="575.71"/>
    <d v="2025-12-19T18:29:06"/>
    <x v="2"/>
  </r>
  <r>
    <n v="1278"/>
    <d v="2024-06-03T00:00:00"/>
    <s v="C009"/>
    <s v="Vikas Gupta"/>
    <x v="0"/>
    <x v="2"/>
    <x v="6"/>
    <n v="7500"/>
    <n v="1"/>
    <n v="0.15"/>
    <x v="36"/>
    <n v="1165.52"/>
    <d v="2025-12-19T18:29:06"/>
    <x v="5"/>
  </r>
  <r>
    <n v="1279"/>
    <d v="2024-04-11T00:00:00"/>
    <s v="C011"/>
    <s v="Rahul Khanna"/>
    <x v="1"/>
    <x v="2"/>
    <x v="9"/>
    <n v="12000"/>
    <n v="3"/>
    <n v="0.15"/>
    <x v="58"/>
    <n v="5320.43"/>
    <d v="2025-12-19T18:29:06"/>
    <x v="3"/>
  </r>
  <r>
    <n v="1280"/>
    <d v="2024-04-25T00:00:00"/>
    <s v="C009"/>
    <s v="Vikas Gupta"/>
    <x v="1"/>
    <x v="2"/>
    <x v="6"/>
    <n v="7500"/>
    <n v="5"/>
    <n v="0.15"/>
    <x v="136"/>
    <n v="8088.45"/>
    <d v="2025-12-19T18:29:06"/>
    <x v="3"/>
  </r>
  <r>
    <n v="1281"/>
    <d v="2024-04-01T00:00:00"/>
    <s v="C012"/>
    <s v="Simran Kaur"/>
    <x v="3"/>
    <x v="2"/>
    <x v="9"/>
    <n v="12000"/>
    <n v="4"/>
    <n v="0.15"/>
    <x v="57"/>
    <n v="10673.5"/>
    <d v="2025-12-19T18:29:06"/>
    <x v="3"/>
  </r>
  <r>
    <n v="1282"/>
    <d v="2024-06-19T00:00:00"/>
    <s v="C002"/>
    <s v="Neha Verma"/>
    <x v="0"/>
    <x v="2"/>
    <x v="3"/>
    <n v="9500"/>
    <n v="5"/>
    <n v="0.15"/>
    <x v="11"/>
    <n v="6528.09"/>
    <d v="2025-12-19T18:29:06"/>
    <x v="5"/>
  </r>
  <r>
    <n v="1283"/>
    <d v="2024-01-22T00:00:00"/>
    <s v="C001"/>
    <s v="Amit Sharma"/>
    <x v="0"/>
    <x v="1"/>
    <x v="8"/>
    <n v="500"/>
    <n v="4"/>
    <n v="0.1"/>
    <x v="52"/>
    <n v="393.43"/>
    <d v="2025-12-19T18:29:06"/>
    <x v="0"/>
  </r>
  <r>
    <n v="1284"/>
    <d v="2024-05-26T00:00:00"/>
    <s v="C011"/>
    <s v="Rahul Khanna"/>
    <x v="3"/>
    <x v="1"/>
    <x v="8"/>
    <n v="500"/>
    <n v="3"/>
    <n v="0"/>
    <x v="76"/>
    <n v="336.83"/>
    <d v="2025-12-19T18:29:06"/>
    <x v="1"/>
  </r>
  <r>
    <n v="1285"/>
    <d v="2024-06-29T00:00:00"/>
    <s v="C007"/>
    <s v="Arjun Rao"/>
    <x v="0"/>
    <x v="0"/>
    <x v="7"/>
    <n v="18000"/>
    <n v="5"/>
    <n v="0"/>
    <x v="137"/>
    <n v="24725.49"/>
    <d v="2025-12-19T18:29:06"/>
    <x v="5"/>
  </r>
  <r>
    <n v="1286"/>
    <d v="2024-06-09T00:00:00"/>
    <s v="C003"/>
    <s v="Rohit Singh"/>
    <x v="3"/>
    <x v="1"/>
    <x v="1"/>
    <n v="200"/>
    <n v="5"/>
    <n v="0.1"/>
    <x v="2"/>
    <n v="209.8"/>
    <d v="2025-12-19T18:29:06"/>
    <x v="5"/>
  </r>
  <r>
    <n v="1287"/>
    <d v="2024-03-28T00:00:00"/>
    <s v="C004"/>
    <s v="Priya Patel"/>
    <x v="2"/>
    <x v="0"/>
    <x v="4"/>
    <n v="55000"/>
    <n v="5"/>
    <n v="0.15"/>
    <x v="134"/>
    <n v="54514.01"/>
    <d v="2025-12-19T18:29:06"/>
    <x v="4"/>
  </r>
  <r>
    <n v="1288"/>
    <d v="2024-05-23T00:00:00"/>
    <s v="C009"/>
    <s v="Vikas Gupta"/>
    <x v="1"/>
    <x v="1"/>
    <x v="5"/>
    <n v="350"/>
    <n v="2"/>
    <n v="0.15"/>
    <x v="116"/>
    <n v="128.69"/>
    <d v="2025-12-19T18:29:06"/>
    <x v="1"/>
  </r>
  <r>
    <n v="1289"/>
    <d v="2024-04-27T00:00:00"/>
    <s v="C010"/>
    <s v="Anjali Das"/>
    <x v="0"/>
    <x v="1"/>
    <x v="5"/>
    <n v="350"/>
    <n v="2"/>
    <n v="0.15"/>
    <x v="116"/>
    <n v="176.07"/>
    <d v="2025-12-19T18:29:06"/>
    <x v="3"/>
  </r>
  <r>
    <n v="1290"/>
    <d v="2024-06-23T00:00:00"/>
    <s v="C001"/>
    <s v="Amit Sharma"/>
    <x v="2"/>
    <x v="0"/>
    <x v="2"/>
    <n v="22000"/>
    <n v="4"/>
    <n v="0.1"/>
    <x v="138"/>
    <n v="14589.04"/>
    <d v="2025-12-19T18:29:06"/>
    <x v="5"/>
  </r>
  <r>
    <n v="1291"/>
    <d v="2024-02-21T00:00:00"/>
    <s v="C001"/>
    <s v="Amit Sharma"/>
    <x v="2"/>
    <x v="1"/>
    <x v="1"/>
    <n v="200"/>
    <n v="3"/>
    <n v="0.05"/>
    <x v="139"/>
    <n v="142.1"/>
    <d v="2025-12-19T18:29:06"/>
    <x v="2"/>
  </r>
  <r>
    <n v="1292"/>
    <d v="2024-01-24T00:00:00"/>
    <s v="C001"/>
    <s v="Amit Sharma"/>
    <x v="0"/>
    <x v="0"/>
    <x v="0"/>
    <n v="3000"/>
    <n v="1"/>
    <n v="0.05"/>
    <x v="114"/>
    <n v="664.38"/>
    <d v="2025-12-19T18:29:06"/>
    <x v="0"/>
  </r>
  <r>
    <n v="1293"/>
    <d v="2024-02-19T00:00:00"/>
    <s v="C003"/>
    <s v="Rohit Singh"/>
    <x v="3"/>
    <x v="1"/>
    <x v="1"/>
    <n v="200"/>
    <n v="4"/>
    <n v="0.05"/>
    <x v="85"/>
    <n v="243.6"/>
    <d v="2025-12-19T18:29:06"/>
    <x v="2"/>
  </r>
  <r>
    <n v="1294"/>
    <d v="2024-03-12T00:00:00"/>
    <s v="C002"/>
    <s v="Neha Verma"/>
    <x v="0"/>
    <x v="1"/>
    <x v="5"/>
    <n v="350"/>
    <n v="4"/>
    <n v="0"/>
    <x v="106"/>
    <n v="349.27"/>
    <d v="2025-12-19T18:29:06"/>
    <x v="4"/>
  </r>
  <r>
    <n v="1295"/>
    <d v="2024-04-24T00:00:00"/>
    <s v="C009"/>
    <s v="Vikas Gupta"/>
    <x v="3"/>
    <x v="0"/>
    <x v="4"/>
    <n v="55000"/>
    <n v="3"/>
    <n v="0"/>
    <x v="84"/>
    <n v="27020.38"/>
    <d v="2025-12-19T18:29:06"/>
    <x v="3"/>
  </r>
  <r>
    <n v="1296"/>
    <d v="2024-01-13T00:00:00"/>
    <s v="C004"/>
    <s v="Priya Patel"/>
    <x v="2"/>
    <x v="2"/>
    <x v="6"/>
    <n v="7500"/>
    <n v="4"/>
    <n v="0.15"/>
    <x v="29"/>
    <n v="6610.86"/>
    <d v="2025-12-19T18:29:06"/>
    <x v="0"/>
  </r>
  <r>
    <n v="1297"/>
    <d v="2024-01-26T00:00:00"/>
    <s v="C010"/>
    <s v="Anjali Das"/>
    <x v="2"/>
    <x v="0"/>
    <x v="0"/>
    <n v="3000"/>
    <n v="3"/>
    <n v="0.05"/>
    <x v="87"/>
    <n v="2416.77"/>
    <d v="2025-12-19T18:29:06"/>
    <x v="0"/>
  </r>
  <r>
    <n v="1298"/>
    <d v="2024-01-29T00:00:00"/>
    <s v="C008"/>
    <s v="Pooja Nair"/>
    <x v="1"/>
    <x v="1"/>
    <x v="5"/>
    <n v="350"/>
    <n v="2"/>
    <n v="0.05"/>
    <x v="140"/>
    <n v="167.46"/>
    <d v="2025-12-19T18:29:06"/>
    <x v="0"/>
  </r>
  <r>
    <n v="1299"/>
    <d v="2024-06-26T00:00:00"/>
    <s v="C012"/>
    <s v="Simran Kaur"/>
    <x v="2"/>
    <x v="2"/>
    <x v="6"/>
    <n v="7500"/>
    <n v="4"/>
    <n v="0.15"/>
    <x v="29"/>
    <n v="8057.1"/>
    <d v="2025-12-19T18:29:06"/>
    <x v="5"/>
  </r>
  <r>
    <n v="1300"/>
    <d v="2024-01-23T00:00:00"/>
    <s v="C009"/>
    <s v="Vikas Gupta"/>
    <x v="1"/>
    <x v="0"/>
    <x v="4"/>
    <n v="55000"/>
    <n v="5"/>
    <n v="0"/>
    <x v="53"/>
    <n v="55782.14"/>
    <d v="2025-12-19T18:29:06"/>
    <x v="0"/>
  </r>
  <r>
    <n v="1301"/>
    <d v="2024-06-22T00:00:00"/>
    <s v="C004"/>
    <s v="Priya Patel"/>
    <x v="1"/>
    <x v="1"/>
    <x v="8"/>
    <n v="500"/>
    <n v="1"/>
    <n v="0.05"/>
    <x v="94"/>
    <n v="108.36"/>
    <d v="2025-12-19T18:29:06"/>
    <x v="5"/>
  </r>
  <r>
    <n v="1302"/>
    <d v="2024-01-19T00:00:00"/>
    <s v="C002"/>
    <s v="Neha Verma"/>
    <x v="3"/>
    <x v="2"/>
    <x v="9"/>
    <n v="12000"/>
    <n v="3"/>
    <n v="0.15"/>
    <x v="58"/>
    <n v="7139.13"/>
    <d v="2025-12-19T18:29:06"/>
    <x v="0"/>
  </r>
  <r>
    <n v="1303"/>
    <d v="2024-06-04T00:00:00"/>
    <s v="C005"/>
    <s v="Karan Mehta"/>
    <x v="1"/>
    <x v="1"/>
    <x v="5"/>
    <n v="350"/>
    <n v="4"/>
    <n v="0.05"/>
    <x v="141"/>
    <n v="356.07"/>
    <d v="2025-12-19T18:29:06"/>
    <x v="5"/>
  </r>
  <r>
    <n v="1304"/>
    <d v="2024-06-24T00:00:00"/>
    <s v="C011"/>
    <s v="Rahul Khanna"/>
    <x v="3"/>
    <x v="1"/>
    <x v="8"/>
    <n v="500"/>
    <n v="4"/>
    <n v="0.05"/>
    <x v="17"/>
    <n v="310.33"/>
    <d v="2025-12-19T18:29:06"/>
    <x v="5"/>
  </r>
  <r>
    <n v="1305"/>
    <d v="2024-05-10T00:00:00"/>
    <s v="C002"/>
    <s v="Neha Verma"/>
    <x v="3"/>
    <x v="2"/>
    <x v="9"/>
    <n v="12000"/>
    <n v="5"/>
    <n v="0"/>
    <x v="62"/>
    <n v="12427.42"/>
    <d v="2025-12-19T18:29:06"/>
    <x v="1"/>
  </r>
  <r>
    <n v="1306"/>
    <d v="2024-02-16T00:00:00"/>
    <s v="C004"/>
    <s v="Priya Patel"/>
    <x v="2"/>
    <x v="0"/>
    <x v="2"/>
    <n v="22000"/>
    <n v="4"/>
    <n v="0.05"/>
    <x v="142"/>
    <n v="17121.689999999999"/>
    <d v="2025-12-19T18:29:06"/>
    <x v="2"/>
  </r>
  <r>
    <n v="1307"/>
    <d v="2024-02-14T00:00:00"/>
    <s v="C009"/>
    <s v="Vikas Gupta"/>
    <x v="1"/>
    <x v="1"/>
    <x v="5"/>
    <n v="350"/>
    <n v="3"/>
    <n v="0.1"/>
    <x v="79"/>
    <n v="190.38"/>
    <d v="2025-12-19T18:29:06"/>
    <x v="2"/>
  </r>
  <r>
    <n v="1308"/>
    <d v="2024-05-02T00:00:00"/>
    <s v="C005"/>
    <s v="Karan Mehta"/>
    <x v="3"/>
    <x v="0"/>
    <x v="0"/>
    <n v="3000"/>
    <n v="4"/>
    <n v="0.05"/>
    <x v="44"/>
    <n v="3656.94"/>
    <d v="2025-12-19T18:29:06"/>
    <x v="1"/>
  </r>
  <r>
    <n v="1309"/>
    <d v="2024-03-03T00:00:00"/>
    <s v="C005"/>
    <s v="Karan Mehta"/>
    <x v="1"/>
    <x v="0"/>
    <x v="7"/>
    <n v="18000"/>
    <n v="3"/>
    <n v="0"/>
    <x v="89"/>
    <n v="16857.060000000001"/>
    <d v="2025-12-19T18:29:06"/>
    <x v="4"/>
  </r>
  <r>
    <n v="1310"/>
    <d v="2024-05-30T00:00:00"/>
    <s v="C001"/>
    <s v="Amit Sharma"/>
    <x v="3"/>
    <x v="1"/>
    <x v="8"/>
    <n v="500"/>
    <n v="4"/>
    <n v="0"/>
    <x v="82"/>
    <n v="434.49"/>
    <d v="2025-12-19T18:29:06"/>
    <x v="1"/>
  </r>
  <r>
    <n v="1311"/>
    <d v="2024-02-29T00:00:00"/>
    <s v="C001"/>
    <s v="Amit Sharma"/>
    <x v="2"/>
    <x v="1"/>
    <x v="1"/>
    <n v="200"/>
    <n v="5"/>
    <n v="0.05"/>
    <x v="143"/>
    <n v="173.47"/>
    <d v="2025-12-19T18:29:06"/>
    <x v="2"/>
  </r>
  <r>
    <n v="1312"/>
    <d v="2024-05-01T00:00:00"/>
    <s v="C001"/>
    <s v="Amit Sharma"/>
    <x v="2"/>
    <x v="1"/>
    <x v="1"/>
    <n v="200"/>
    <n v="3"/>
    <n v="0.05"/>
    <x v="139"/>
    <n v="125.53"/>
    <d v="2025-12-19T18:29:06"/>
    <x v="1"/>
  </r>
  <r>
    <n v="1313"/>
    <d v="2024-05-14T00:00:00"/>
    <s v="C010"/>
    <s v="Anjali Das"/>
    <x v="2"/>
    <x v="1"/>
    <x v="1"/>
    <n v="200"/>
    <n v="3"/>
    <n v="0.1"/>
    <x v="12"/>
    <n v="162.26"/>
    <d v="2025-12-19T18:29:06"/>
    <x v="1"/>
  </r>
  <r>
    <n v="1314"/>
    <d v="2024-03-11T00:00:00"/>
    <s v="C002"/>
    <s v="Neha Verma"/>
    <x v="2"/>
    <x v="1"/>
    <x v="1"/>
    <n v="200"/>
    <n v="2"/>
    <n v="0"/>
    <x v="88"/>
    <n v="100.39"/>
    <d v="2025-12-19T18:29:06"/>
    <x v="4"/>
  </r>
  <r>
    <n v="1315"/>
    <d v="2024-06-29T00:00:00"/>
    <s v="C011"/>
    <s v="Rahul Khanna"/>
    <x v="3"/>
    <x v="2"/>
    <x v="3"/>
    <n v="9500"/>
    <n v="4"/>
    <n v="0.1"/>
    <x v="39"/>
    <n v="9293.24"/>
    <d v="2025-12-19T18:29:06"/>
    <x v="5"/>
  </r>
  <r>
    <n v="1316"/>
    <d v="2024-04-20T00:00:00"/>
    <s v="C008"/>
    <s v="Pooja Nair"/>
    <x v="0"/>
    <x v="0"/>
    <x v="2"/>
    <n v="22000"/>
    <n v="5"/>
    <n v="0"/>
    <x v="3"/>
    <n v="28380.639999999999"/>
    <d v="2025-12-19T18:29:06"/>
    <x v="3"/>
  </r>
  <r>
    <n v="1317"/>
    <d v="2024-03-16T00:00:00"/>
    <s v="C011"/>
    <s v="Rahul Khanna"/>
    <x v="1"/>
    <x v="2"/>
    <x v="3"/>
    <n v="9500"/>
    <n v="4"/>
    <n v="0.1"/>
    <x v="39"/>
    <n v="5910.06"/>
    <d v="2025-12-19T18:29:06"/>
    <x v="4"/>
  </r>
  <r>
    <n v="1318"/>
    <d v="2024-01-28T00:00:00"/>
    <s v="C002"/>
    <s v="Neha Verma"/>
    <x v="0"/>
    <x v="2"/>
    <x v="6"/>
    <n v="7500"/>
    <n v="1"/>
    <n v="0.15"/>
    <x v="36"/>
    <n v="1013.99"/>
    <d v="2025-12-19T18:29:06"/>
    <x v="0"/>
  </r>
  <r>
    <n v="1319"/>
    <d v="2024-01-06T00:00:00"/>
    <s v="C008"/>
    <s v="Pooja Nair"/>
    <x v="3"/>
    <x v="0"/>
    <x v="0"/>
    <n v="3000"/>
    <n v="3"/>
    <n v="0"/>
    <x v="72"/>
    <n v="2920.02"/>
    <d v="2025-12-19T18:29:06"/>
    <x v="0"/>
  </r>
  <r>
    <n v="1320"/>
    <d v="2024-05-23T00:00:00"/>
    <s v="C008"/>
    <s v="Pooja Nair"/>
    <x v="2"/>
    <x v="0"/>
    <x v="4"/>
    <n v="55000"/>
    <n v="1"/>
    <n v="0.15"/>
    <x v="91"/>
    <n v="13995.04"/>
    <d v="2025-12-19T18:29:06"/>
    <x v="1"/>
  </r>
  <r>
    <n v="1321"/>
    <d v="2024-06-17T00:00:00"/>
    <s v="C004"/>
    <s v="Priya Patel"/>
    <x v="0"/>
    <x v="0"/>
    <x v="4"/>
    <n v="55000"/>
    <n v="2"/>
    <n v="0.15"/>
    <x v="8"/>
    <n v="22844.93"/>
    <d v="2025-12-19T18:29:06"/>
    <x v="5"/>
  </r>
  <r>
    <n v="1322"/>
    <d v="2024-03-28T00:00:00"/>
    <s v="C002"/>
    <s v="Neha Verma"/>
    <x v="3"/>
    <x v="0"/>
    <x v="0"/>
    <n v="3000"/>
    <n v="2"/>
    <n v="0.1"/>
    <x v="111"/>
    <n v="1792.15"/>
    <d v="2025-12-19T18:29:06"/>
    <x v="4"/>
  </r>
  <r>
    <n v="1323"/>
    <d v="2024-03-23T00:00:00"/>
    <s v="C011"/>
    <s v="Rahul Khanna"/>
    <x v="3"/>
    <x v="2"/>
    <x v="6"/>
    <n v="7500"/>
    <n v="1"/>
    <n v="0.1"/>
    <x v="95"/>
    <n v="1767.87"/>
    <d v="2025-12-19T18:29:06"/>
    <x v="4"/>
  </r>
  <r>
    <n v="1324"/>
    <d v="2024-06-02T00:00:00"/>
    <s v="C005"/>
    <s v="Karan Mehta"/>
    <x v="3"/>
    <x v="0"/>
    <x v="7"/>
    <n v="18000"/>
    <n v="3"/>
    <n v="0.1"/>
    <x v="59"/>
    <n v="14962.53"/>
    <d v="2025-12-19T18:29:06"/>
    <x v="5"/>
  </r>
  <r>
    <n v="1325"/>
    <d v="2024-05-05T00:00:00"/>
    <s v="C001"/>
    <s v="Amit Sharma"/>
    <x v="0"/>
    <x v="1"/>
    <x v="5"/>
    <n v="350"/>
    <n v="4"/>
    <n v="0.05"/>
    <x v="141"/>
    <n v="397.86"/>
    <d v="2025-12-19T18:29:06"/>
    <x v="1"/>
  </r>
  <r>
    <n v="1326"/>
    <d v="2024-01-28T00:00:00"/>
    <s v="C007"/>
    <s v="Arjun Rao"/>
    <x v="1"/>
    <x v="1"/>
    <x v="5"/>
    <n v="350"/>
    <n v="3"/>
    <n v="0.15"/>
    <x v="38"/>
    <n v="207.65"/>
    <d v="2025-12-19T18:29:06"/>
    <x v="0"/>
  </r>
  <r>
    <n v="1327"/>
    <d v="2024-01-10T00:00:00"/>
    <s v="C004"/>
    <s v="Priya Patel"/>
    <x v="3"/>
    <x v="2"/>
    <x v="6"/>
    <n v="7500"/>
    <n v="5"/>
    <n v="0.05"/>
    <x v="144"/>
    <n v="8483.33"/>
    <d v="2025-12-19T18:29:06"/>
    <x v="0"/>
  </r>
  <r>
    <n v="1328"/>
    <d v="2024-06-25T00:00:00"/>
    <s v="C004"/>
    <s v="Priya Patel"/>
    <x v="3"/>
    <x v="2"/>
    <x v="9"/>
    <n v="12000"/>
    <n v="5"/>
    <n v="0.1"/>
    <x v="89"/>
    <n v="11386.45"/>
    <d v="2025-12-19T18:29:06"/>
    <x v="5"/>
  </r>
  <r>
    <n v="1329"/>
    <d v="2024-04-17T00:00:00"/>
    <s v="C002"/>
    <s v="Neha Verma"/>
    <x v="1"/>
    <x v="1"/>
    <x v="5"/>
    <n v="350"/>
    <n v="3"/>
    <n v="0.05"/>
    <x v="145"/>
    <n v="218.94"/>
    <d v="2025-12-19T18:29:06"/>
    <x v="3"/>
  </r>
  <r>
    <n v="1330"/>
    <d v="2024-06-28T00:00:00"/>
    <s v="C008"/>
    <s v="Pooja Nair"/>
    <x v="0"/>
    <x v="2"/>
    <x v="9"/>
    <n v="12000"/>
    <n v="1"/>
    <n v="0.05"/>
    <x v="44"/>
    <n v="2345.2199999999998"/>
    <d v="2025-12-19T18:29:06"/>
    <x v="5"/>
  </r>
  <r>
    <n v="1331"/>
    <d v="2024-04-25T00:00:00"/>
    <s v="C007"/>
    <s v="Arjun Rao"/>
    <x v="1"/>
    <x v="1"/>
    <x v="8"/>
    <n v="500"/>
    <n v="2"/>
    <n v="0"/>
    <x v="1"/>
    <n v="219.64"/>
    <d v="2025-12-19T18:29:06"/>
    <x v="3"/>
  </r>
  <r>
    <n v="1332"/>
    <d v="2024-03-14T00:00:00"/>
    <s v="C008"/>
    <s v="Pooja Nair"/>
    <x v="1"/>
    <x v="0"/>
    <x v="4"/>
    <n v="55000"/>
    <n v="1"/>
    <n v="0.15"/>
    <x v="91"/>
    <n v="10749.7"/>
    <d v="2025-12-19T18:29:06"/>
    <x v="4"/>
  </r>
  <r>
    <n v="1333"/>
    <d v="2024-03-31T00:00:00"/>
    <s v="C001"/>
    <s v="Amit Sharma"/>
    <x v="3"/>
    <x v="2"/>
    <x v="6"/>
    <n v="7500"/>
    <n v="1"/>
    <n v="0.1"/>
    <x v="95"/>
    <n v="1020.12"/>
    <d v="2025-12-19T18:29:06"/>
    <x v="4"/>
  </r>
  <r>
    <n v="1334"/>
    <d v="2024-01-23T00:00:00"/>
    <s v="C002"/>
    <s v="Neha Verma"/>
    <x v="2"/>
    <x v="2"/>
    <x v="6"/>
    <n v="7500"/>
    <n v="1"/>
    <n v="0"/>
    <x v="50"/>
    <n v="1960.97"/>
    <d v="2025-12-19T18:29:06"/>
    <x v="0"/>
  </r>
  <r>
    <n v="1335"/>
    <d v="2024-01-11T00:00:00"/>
    <s v="C006"/>
    <s v="Sneha Iyer"/>
    <x v="1"/>
    <x v="2"/>
    <x v="6"/>
    <n v="7500"/>
    <n v="4"/>
    <n v="0.05"/>
    <x v="66"/>
    <n v="6851.84"/>
    <d v="2025-12-19T18:29:06"/>
    <x v="0"/>
  </r>
  <r>
    <n v="1336"/>
    <d v="2024-04-22T00:00:00"/>
    <s v="C006"/>
    <s v="Sneha Iyer"/>
    <x v="3"/>
    <x v="1"/>
    <x v="1"/>
    <n v="200"/>
    <n v="1"/>
    <n v="0.15"/>
    <x v="97"/>
    <n v="36.270000000000003"/>
    <d v="2025-12-19T18:29:06"/>
    <x v="3"/>
  </r>
  <r>
    <n v="1337"/>
    <d v="2024-03-01T00:00:00"/>
    <s v="C002"/>
    <s v="Neha Verma"/>
    <x v="0"/>
    <x v="0"/>
    <x v="0"/>
    <n v="3000"/>
    <n v="2"/>
    <n v="0"/>
    <x v="5"/>
    <n v="1691.47"/>
    <d v="2025-12-19T18:29:06"/>
    <x v="4"/>
  </r>
  <r>
    <n v="1338"/>
    <d v="2024-03-15T00:00:00"/>
    <s v="C007"/>
    <s v="Arjun Rao"/>
    <x v="0"/>
    <x v="1"/>
    <x v="5"/>
    <n v="350"/>
    <n v="4"/>
    <n v="0"/>
    <x v="106"/>
    <n v="229.3"/>
    <d v="2025-12-19T18:29:06"/>
    <x v="4"/>
  </r>
  <r>
    <n v="1339"/>
    <d v="2024-03-10T00:00:00"/>
    <s v="C012"/>
    <s v="Simran Kaur"/>
    <x v="1"/>
    <x v="2"/>
    <x v="9"/>
    <n v="12000"/>
    <n v="1"/>
    <n v="0.1"/>
    <x v="119"/>
    <n v="1642.99"/>
    <d v="2025-12-19T18:29:06"/>
    <x v="4"/>
  </r>
  <r>
    <n v="1340"/>
    <d v="2024-06-10T00:00:00"/>
    <s v="C009"/>
    <s v="Vikas Gupta"/>
    <x v="1"/>
    <x v="0"/>
    <x v="7"/>
    <n v="18000"/>
    <n v="4"/>
    <n v="0.15"/>
    <x v="105"/>
    <n v="20149.990000000002"/>
    <d v="2025-12-19T18:29:06"/>
    <x v="5"/>
  </r>
  <r>
    <n v="1341"/>
    <d v="2024-06-03T00:00:00"/>
    <s v="C012"/>
    <s v="Simran Kaur"/>
    <x v="0"/>
    <x v="2"/>
    <x v="9"/>
    <n v="12000"/>
    <n v="2"/>
    <n v="0.1"/>
    <x v="96"/>
    <n v="3609.65"/>
    <d v="2025-12-19T18:29:06"/>
    <x v="5"/>
  </r>
  <r>
    <n v="1342"/>
    <d v="2024-03-15T00:00:00"/>
    <s v="C012"/>
    <s v="Simran Kaur"/>
    <x v="0"/>
    <x v="1"/>
    <x v="1"/>
    <n v="200"/>
    <n v="3"/>
    <n v="0.05"/>
    <x v="139"/>
    <n v="120.81"/>
    <d v="2025-12-19T18:29:06"/>
    <x v="4"/>
  </r>
  <r>
    <n v="1343"/>
    <d v="2024-06-13T00:00:00"/>
    <s v="C003"/>
    <s v="Rohit Singh"/>
    <x v="1"/>
    <x v="0"/>
    <x v="7"/>
    <n v="18000"/>
    <n v="1"/>
    <n v="0.15"/>
    <x v="16"/>
    <n v="3811.85"/>
    <d v="2025-12-19T18:29:06"/>
    <x v="5"/>
  </r>
  <r>
    <n v="1344"/>
    <d v="2024-06-08T00:00:00"/>
    <s v="C009"/>
    <s v="Vikas Gupta"/>
    <x v="0"/>
    <x v="2"/>
    <x v="3"/>
    <n v="9500"/>
    <n v="4"/>
    <n v="0.15"/>
    <x v="146"/>
    <n v="9349.93"/>
    <d v="2025-12-19T18:29:06"/>
    <x v="5"/>
  </r>
  <r>
    <n v="1345"/>
    <d v="2024-02-18T00:00:00"/>
    <s v="C012"/>
    <s v="Simran Kaur"/>
    <x v="3"/>
    <x v="0"/>
    <x v="0"/>
    <n v="3000"/>
    <n v="1"/>
    <n v="0.1"/>
    <x v="0"/>
    <n v="847.99"/>
    <d v="2025-12-19T18:29:06"/>
    <x v="2"/>
  </r>
  <r>
    <n v="1346"/>
    <d v="2024-05-23T00:00:00"/>
    <s v="C004"/>
    <s v="Priya Patel"/>
    <x v="0"/>
    <x v="2"/>
    <x v="9"/>
    <n v="12000"/>
    <n v="4"/>
    <n v="0.15"/>
    <x v="57"/>
    <n v="7667.05"/>
    <d v="2025-12-19T18:29:06"/>
    <x v="1"/>
  </r>
  <r>
    <n v="1347"/>
    <d v="2024-06-05T00:00:00"/>
    <s v="C008"/>
    <s v="Pooja Nair"/>
    <x v="1"/>
    <x v="2"/>
    <x v="6"/>
    <n v="7500"/>
    <n v="1"/>
    <n v="0"/>
    <x v="50"/>
    <n v="2542.02"/>
    <d v="2025-12-19T18:29:06"/>
    <x v="5"/>
  </r>
  <r>
    <n v="1348"/>
    <d v="2024-04-07T00:00:00"/>
    <s v="C008"/>
    <s v="Pooja Nair"/>
    <x v="2"/>
    <x v="2"/>
    <x v="6"/>
    <n v="7500"/>
    <n v="2"/>
    <n v="0"/>
    <x v="70"/>
    <n v="5190.6099999999997"/>
    <d v="2025-12-19T18:29:06"/>
    <x v="3"/>
  </r>
  <r>
    <n v="1349"/>
    <d v="2024-03-11T00:00:00"/>
    <s v="C008"/>
    <s v="Pooja Nair"/>
    <x v="1"/>
    <x v="2"/>
    <x v="6"/>
    <n v="7500"/>
    <n v="1"/>
    <n v="0"/>
    <x v="50"/>
    <n v="2252.79"/>
    <d v="2025-12-19T18:29:06"/>
    <x v="4"/>
  </r>
  <r>
    <n v="1350"/>
    <d v="2024-04-11T00:00:00"/>
    <s v="C009"/>
    <s v="Vikas Gupta"/>
    <x v="3"/>
    <x v="0"/>
    <x v="0"/>
    <n v="3000"/>
    <n v="2"/>
    <n v="0.1"/>
    <x v="111"/>
    <n v="1427.81"/>
    <d v="2025-12-19T18:29:06"/>
    <x v="3"/>
  </r>
  <r>
    <n v="1351"/>
    <d v="2024-04-08T00:00:00"/>
    <s v="C003"/>
    <s v="Rohit Singh"/>
    <x v="2"/>
    <x v="2"/>
    <x v="6"/>
    <n v="7500"/>
    <n v="5"/>
    <n v="0"/>
    <x v="147"/>
    <n v="11797.38"/>
    <d v="2025-12-19T18:29:06"/>
    <x v="3"/>
  </r>
  <r>
    <n v="1352"/>
    <d v="2024-02-06T00:00:00"/>
    <s v="C008"/>
    <s v="Pooja Nair"/>
    <x v="3"/>
    <x v="0"/>
    <x v="0"/>
    <n v="3000"/>
    <n v="5"/>
    <n v="0"/>
    <x v="70"/>
    <n v="2986.23"/>
    <d v="2025-12-19T18:29:06"/>
    <x v="2"/>
  </r>
  <r>
    <n v="1353"/>
    <d v="2024-03-27T00:00:00"/>
    <s v="C002"/>
    <s v="Neha Verma"/>
    <x v="1"/>
    <x v="1"/>
    <x v="8"/>
    <n v="500"/>
    <n v="4"/>
    <n v="0.15"/>
    <x v="27"/>
    <n v="312.76"/>
    <d v="2025-12-19T18:29:06"/>
    <x v="4"/>
  </r>
  <r>
    <n v="1354"/>
    <d v="2024-03-09T00:00:00"/>
    <s v="C001"/>
    <s v="Amit Sharma"/>
    <x v="1"/>
    <x v="0"/>
    <x v="7"/>
    <n v="18000"/>
    <n v="1"/>
    <n v="0.05"/>
    <x v="26"/>
    <n v="2640.31"/>
    <d v="2025-12-19T18:29:06"/>
    <x v="4"/>
  </r>
  <r>
    <n v="1355"/>
    <d v="2024-04-15T00:00:00"/>
    <s v="C005"/>
    <s v="Karan Mehta"/>
    <x v="2"/>
    <x v="2"/>
    <x v="6"/>
    <n v="7500"/>
    <n v="3"/>
    <n v="0.15"/>
    <x v="148"/>
    <n v="5454.73"/>
    <d v="2025-12-19T18:29:06"/>
    <x v="3"/>
  </r>
  <r>
    <n v="1356"/>
    <d v="2024-06-14T00:00:00"/>
    <s v="C012"/>
    <s v="Simran Kaur"/>
    <x v="3"/>
    <x v="0"/>
    <x v="2"/>
    <n v="22000"/>
    <n v="4"/>
    <n v="0.15"/>
    <x v="101"/>
    <n v="19158.509999999998"/>
    <d v="2025-12-19T18:29:06"/>
    <x v="5"/>
  </r>
  <r>
    <n v="1357"/>
    <d v="2024-04-27T00:00:00"/>
    <s v="C001"/>
    <s v="Amit Sharma"/>
    <x v="0"/>
    <x v="0"/>
    <x v="4"/>
    <n v="55000"/>
    <n v="3"/>
    <n v="0.05"/>
    <x v="132"/>
    <n v="37887.61"/>
    <d v="2025-12-19T18:29:06"/>
    <x v="3"/>
  </r>
  <r>
    <n v="1358"/>
    <d v="2024-01-12T00:00:00"/>
    <s v="C007"/>
    <s v="Arjun Rao"/>
    <x v="1"/>
    <x v="0"/>
    <x v="4"/>
    <n v="55000"/>
    <n v="4"/>
    <n v="0"/>
    <x v="149"/>
    <n v="36173.699999999997"/>
    <d v="2025-12-19T18:29:06"/>
    <x v="0"/>
  </r>
  <r>
    <n v="1359"/>
    <d v="2024-05-26T00:00:00"/>
    <s v="C012"/>
    <s v="Simran Kaur"/>
    <x v="3"/>
    <x v="2"/>
    <x v="9"/>
    <n v="12000"/>
    <n v="1"/>
    <n v="0.1"/>
    <x v="119"/>
    <n v="2219.7399999999998"/>
    <d v="2025-12-19T18:29:06"/>
    <x v="1"/>
  </r>
  <r>
    <n v="1360"/>
    <d v="2024-01-06T00:00:00"/>
    <s v="C001"/>
    <s v="Amit Sharma"/>
    <x v="0"/>
    <x v="2"/>
    <x v="3"/>
    <n v="9500"/>
    <n v="1"/>
    <n v="0.15"/>
    <x v="68"/>
    <n v="2555.27"/>
    <d v="2025-12-19T18:29:06"/>
    <x v="0"/>
  </r>
  <r>
    <n v="1361"/>
    <d v="2024-03-27T00:00:00"/>
    <s v="C012"/>
    <s v="Simran Kaur"/>
    <x v="1"/>
    <x v="2"/>
    <x v="9"/>
    <n v="12000"/>
    <n v="1"/>
    <n v="0.15"/>
    <x v="74"/>
    <n v="1626.68"/>
    <d v="2025-12-19T18:29:06"/>
    <x v="4"/>
  </r>
  <r>
    <n v="1362"/>
    <d v="2024-03-18T00:00:00"/>
    <s v="C007"/>
    <s v="Arjun Rao"/>
    <x v="1"/>
    <x v="0"/>
    <x v="7"/>
    <n v="18000"/>
    <n v="5"/>
    <n v="0.05"/>
    <x v="120"/>
    <n v="16739.03"/>
    <d v="2025-12-19T18:29:06"/>
    <x v="4"/>
  </r>
  <r>
    <n v="1363"/>
    <d v="2024-06-03T00:00:00"/>
    <s v="C009"/>
    <s v="Vikas Gupta"/>
    <x v="3"/>
    <x v="2"/>
    <x v="9"/>
    <n v="12000"/>
    <n v="5"/>
    <n v="0"/>
    <x v="62"/>
    <n v="11462.79"/>
    <d v="2025-12-19T18:29:06"/>
    <x v="5"/>
  </r>
  <r>
    <n v="1364"/>
    <d v="2024-03-16T00:00:00"/>
    <s v="C010"/>
    <s v="Anjali Das"/>
    <x v="2"/>
    <x v="0"/>
    <x v="4"/>
    <n v="55000"/>
    <n v="4"/>
    <n v="0"/>
    <x v="149"/>
    <n v="69026.97"/>
    <d v="2025-12-19T18:29:06"/>
    <x v="4"/>
  </r>
  <r>
    <n v="1365"/>
    <d v="2024-01-12T00:00:00"/>
    <s v="C011"/>
    <s v="Rahul Khanna"/>
    <x v="0"/>
    <x v="2"/>
    <x v="6"/>
    <n v="7500"/>
    <n v="1"/>
    <n v="0.15"/>
    <x v="36"/>
    <n v="1212.22"/>
    <d v="2025-12-19T18:29:06"/>
    <x v="0"/>
  </r>
  <r>
    <n v="1366"/>
    <d v="2024-05-20T00:00:00"/>
    <s v="C001"/>
    <s v="Amit Sharma"/>
    <x v="2"/>
    <x v="1"/>
    <x v="8"/>
    <n v="500"/>
    <n v="5"/>
    <n v="0.15"/>
    <x v="150"/>
    <n v="418.09"/>
    <d v="2025-12-19T18:29:06"/>
    <x v="1"/>
  </r>
  <r>
    <n v="1367"/>
    <d v="2024-02-18T00:00:00"/>
    <s v="C011"/>
    <s v="Rahul Khanna"/>
    <x v="0"/>
    <x v="0"/>
    <x v="2"/>
    <n v="22000"/>
    <n v="5"/>
    <n v="0"/>
    <x v="3"/>
    <n v="20311.61"/>
    <d v="2025-12-19T18:29:06"/>
    <x v="2"/>
  </r>
  <r>
    <n v="1368"/>
    <d v="2024-01-30T00:00:00"/>
    <s v="C001"/>
    <s v="Amit Sharma"/>
    <x v="2"/>
    <x v="1"/>
    <x v="8"/>
    <n v="500"/>
    <n v="3"/>
    <n v="0.1"/>
    <x v="86"/>
    <n v="327.88"/>
    <d v="2025-12-19T18:29:06"/>
    <x v="0"/>
  </r>
  <r>
    <n v="1369"/>
    <d v="2024-02-19T00:00:00"/>
    <s v="C011"/>
    <s v="Rahul Khanna"/>
    <x v="2"/>
    <x v="0"/>
    <x v="2"/>
    <n v="22000"/>
    <n v="1"/>
    <n v="0.1"/>
    <x v="102"/>
    <n v="4456.3500000000004"/>
    <d v="2025-12-19T18:29:06"/>
    <x v="2"/>
  </r>
  <r>
    <n v="1370"/>
    <d v="2024-01-03T00:00:00"/>
    <s v="C006"/>
    <s v="Sneha Iyer"/>
    <x v="1"/>
    <x v="2"/>
    <x v="6"/>
    <n v="7500"/>
    <n v="1"/>
    <n v="0"/>
    <x v="50"/>
    <n v="1541.79"/>
    <d v="2025-12-19T18:29:06"/>
    <x v="0"/>
  </r>
  <r>
    <n v="1371"/>
    <d v="2024-03-15T00:00:00"/>
    <s v="C004"/>
    <s v="Priya Patel"/>
    <x v="1"/>
    <x v="1"/>
    <x v="5"/>
    <n v="350"/>
    <n v="1"/>
    <n v="0.1"/>
    <x v="93"/>
    <n v="76.959999999999994"/>
    <d v="2025-12-19T18:29:06"/>
    <x v="4"/>
  </r>
  <r>
    <n v="1372"/>
    <d v="2024-01-11T00:00:00"/>
    <s v="C008"/>
    <s v="Pooja Nair"/>
    <x v="2"/>
    <x v="2"/>
    <x v="9"/>
    <n v="12000"/>
    <n v="4"/>
    <n v="0.1"/>
    <x v="99"/>
    <n v="8552.0400000000009"/>
    <d v="2025-12-19T18:29:06"/>
    <x v="0"/>
  </r>
  <r>
    <n v="1373"/>
    <d v="2024-04-01T00:00:00"/>
    <s v="C008"/>
    <s v="Pooja Nair"/>
    <x v="1"/>
    <x v="1"/>
    <x v="8"/>
    <n v="500"/>
    <n v="3"/>
    <n v="0.05"/>
    <x v="151"/>
    <n v="290.60000000000002"/>
    <d v="2025-12-19T18:29:06"/>
    <x v="3"/>
  </r>
  <r>
    <n v="1374"/>
    <d v="2024-01-25T00:00:00"/>
    <s v="C007"/>
    <s v="Arjun Rao"/>
    <x v="3"/>
    <x v="0"/>
    <x v="7"/>
    <n v="18000"/>
    <n v="2"/>
    <n v="0.1"/>
    <x v="30"/>
    <n v="6268.42"/>
    <d v="2025-12-19T18:29:06"/>
    <x v="0"/>
  </r>
  <r>
    <n v="1375"/>
    <d v="2024-01-31T00:00:00"/>
    <s v="C011"/>
    <s v="Rahul Khanna"/>
    <x v="3"/>
    <x v="0"/>
    <x v="4"/>
    <n v="55000"/>
    <n v="3"/>
    <n v="0.1"/>
    <x v="152"/>
    <n v="42673.37"/>
    <d v="2025-12-19T18:29:06"/>
    <x v="0"/>
  </r>
  <r>
    <n v="1376"/>
    <d v="2024-01-04T00:00:00"/>
    <s v="C010"/>
    <s v="Anjali Das"/>
    <x v="1"/>
    <x v="0"/>
    <x v="0"/>
    <n v="3000"/>
    <n v="3"/>
    <n v="0"/>
    <x v="72"/>
    <n v="2124.79"/>
    <d v="2025-12-19T18:29:06"/>
    <x v="0"/>
  </r>
  <r>
    <n v="1377"/>
    <d v="2024-04-16T00:00:00"/>
    <s v="C006"/>
    <s v="Sneha Iyer"/>
    <x v="0"/>
    <x v="2"/>
    <x v="3"/>
    <n v="9500"/>
    <n v="3"/>
    <n v="0.1"/>
    <x v="133"/>
    <n v="7847.77"/>
    <d v="2025-12-19T18:29:06"/>
    <x v="3"/>
  </r>
  <r>
    <n v="1378"/>
    <d v="2024-05-09T00:00:00"/>
    <s v="C003"/>
    <s v="Rohit Singh"/>
    <x v="0"/>
    <x v="1"/>
    <x v="5"/>
    <n v="350"/>
    <n v="5"/>
    <n v="0.1"/>
    <x v="103"/>
    <n v="371.25"/>
    <d v="2025-12-19T18:29:06"/>
    <x v="1"/>
  </r>
  <r>
    <n v="1379"/>
    <d v="2024-03-09T00:00:00"/>
    <s v="C010"/>
    <s v="Anjali Das"/>
    <x v="3"/>
    <x v="0"/>
    <x v="2"/>
    <n v="22000"/>
    <n v="3"/>
    <n v="0.1"/>
    <x v="153"/>
    <n v="8974.86"/>
    <d v="2025-12-19T18:29:06"/>
    <x v="4"/>
  </r>
  <r>
    <n v="1380"/>
    <d v="2024-04-10T00:00:00"/>
    <s v="C003"/>
    <s v="Rohit Singh"/>
    <x v="0"/>
    <x v="2"/>
    <x v="6"/>
    <n v="7500"/>
    <n v="2"/>
    <n v="0.15"/>
    <x v="18"/>
    <n v="1931.26"/>
    <d v="2025-12-19T18:29:06"/>
    <x v="3"/>
  </r>
  <r>
    <n v="1381"/>
    <d v="2024-02-09T00:00:00"/>
    <s v="C010"/>
    <s v="Anjali Das"/>
    <x v="1"/>
    <x v="2"/>
    <x v="3"/>
    <n v="9500"/>
    <n v="1"/>
    <n v="0.05"/>
    <x v="112"/>
    <n v="2058.19"/>
    <d v="2025-12-19T18:29:06"/>
    <x v="2"/>
  </r>
  <r>
    <n v="1382"/>
    <d v="2024-04-18T00:00:00"/>
    <s v="C006"/>
    <s v="Sneha Iyer"/>
    <x v="0"/>
    <x v="1"/>
    <x v="1"/>
    <n v="200"/>
    <n v="3"/>
    <n v="0.15"/>
    <x v="154"/>
    <n v="112.06"/>
    <d v="2025-12-19T18:29:06"/>
    <x v="3"/>
  </r>
  <r>
    <n v="1383"/>
    <d v="2024-05-31T00:00:00"/>
    <s v="C001"/>
    <s v="Amit Sharma"/>
    <x v="1"/>
    <x v="1"/>
    <x v="1"/>
    <n v="200"/>
    <n v="1"/>
    <n v="0.05"/>
    <x v="55"/>
    <n v="39.85"/>
    <d v="2025-12-19T18:29:06"/>
    <x v="1"/>
  </r>
  <r>
    <n v="1384"/>
    <d v="2024-05-07T00:00:00"/>
    <s v="C008"/>
    <s v="Pooja Nair"/>
    <x v="3"/>
    <x v="1"/>
    <x v="1"/>
    <n v="200"/>
    <n v="3"/>
    <n v="0.15"/>
    <x v="154"/>
    <n v="169.84"/>
    <d v="2025-12-19T18:29:06"/>
    <x v="1"/>
  </r>
  <r>
    <n v="1385"/>
    <d v="2024-02-17T00:00:00"/>
    <s v="C002"/>
    <s v="Neha Verma"/>
    <x v="3"/>
    <x v="1"/>
    <x v="8"/>
    <n v="500"/>
    <n v="1"/>
    <n v="0"/>
    <x v="60"/>
    <n v="137.35"/>
    <d v="2025-12-19T18:29:06"/>
    <x v="2"/>
  </r>
  <r>
    <n v="1386"/>
    <d v="2024-01-17T00:00:00"/>
    <s v="C003"/>
    <s v="Rohit Singh"/>
    <x v="3"/>
    <x v="0"/>
    <x v="4"/>
    <n v="55000"/>
    <n v="1"/>
    <n v="0.15"/>
    <x v="91"/>
    <n v="7317.48"/>
    <d v="2025-12-19T18:29:06"/>
    <x v="0"/>
  </r>
  <r>
    <n v="1387"/>
    <d v="2024-02-25T00:00:00"/>
    <s v="C009"/>
    <s v="Vikas Gupta"/>
    <x v="3"/>
    <x v="2"/>
    <x v="9"/>
    <n v="12000"/>
    <n v="1"/>
    <n v="0.1"/>
    <x v="119"/>
    <n v="3249.26"/>
    <d v="2025-12-19T18:29:06"/>
    <x v="2"/>
  </r>
  <r>
    <n v="1388"/>
    <d v="2024-03-21T00:00:00"/>
    <s v="C002"/>
    <s v="Neha Verma"/>
    <x v="0"/>
    <x v="2"/>
    <x v="9"/>
    <n v="12000"/>
    <n v="5"/>
    <n v="0.05"/>
    <x v="83"/>
    <n v="18744.7"/>
    <d v="2025-12-19T18:29:06"/>
    <x v="4"/>
  </r>
  <r>
    <n v="1389"/>
    <d v="2024-01-17T00:00:00"/>
    <s v="C002"/>
    <s v="Neha Verma"/>
    <x v="1"/>
    <x v="2"/>
    <x v="6"/>
    <n v="7500"/>
    <n v="5"/>
    <n v="0"/>
    <x v="147"/>
    <n v="10858.41"/>
    <d v="2025-12-19T18:29:06"/>
    <x v="0"/>
  </r>
  <r>
    <n v="1390"/>
    <d v="2024-06-26T00:00:00"/>
    <s v="C004"/>
    <s v="Priya Patel"/>
    <x v="3"/>
    <x v="1"/>
    <x v="8"/>
    <n v="500"/>
    <n v="5"/>
    <n v="0.05"/>
    <x v="37"/>
    <n v="408.05"/>
    <d v="2025-12-19T18:29:06"/>
    <x v="5"/>
  </r>
  <r>
    <n v="1391"/>
    <d v="2024-03-09T00:00:00"/>
    <s v="C005"/>
    <s v="Karan Mehta"/>
    <x v="1"/>
    <x v="2"/>
    <x v="6"/>
    <n v="7500"/>
    <n v="4"/>
    <n v="0.05"/>
    <x v="66"/>
    <n v="7767.99"/>
    <d v="2025-12-19T18:29:06"/>
    <x v="4"/>
  </r>
  <r>
    <n v="1392"/>
    <d v="2024-01-10T00:00:00"/>
    <s v="C009"/>
    <s v="Vikas Gupta"/>
    <x v="3"/>
    <x v="1"/>
    <x v="8"/>
    <n v="500"/>
    <n v="1"/>
    <n v="0.1"/>
    <x v="19"/>
    <n v="108.74"/>
    <d v="2025-12-19T18:29:06"/>
    <x v="0"/>
  </r>
  <r>
    <n v="1393"/>
    <d v="2024-06-26T00:00:00"/>
    <s v="C009"/>
    <s v="Vikas Gupta"/>
    <x v="0"/>
    <x v="0"/>
    <x v="4"/>
    <n v="55000"/>
    <n v="4"/>
    <n v="0.1"/>
    <x v="155"/>
    <n v="52809.11"/>
    <d v="2025-12-19T18:29:06"/>
    <x v="5"/>
  </r>
  <r>
    <n v="1394"/>
    <d v="2024-02-20T00:00:00"/>
    <s v="C007"/>
    <s v="Arjun Rao"/>
    <x v="0"/>
    <x v="1"/>
    <x v="1"/>
    <n v="200"/>
    <n v="3"/>
    <n v="0.1"/>
    <x v="12"/>
    <n v="184.78"/>
    <d v="2025-12-19T18:29:06"/>
    <x v="2"/>
  </r>
  <r>
    <n v="1395"/>
    <d v="2024-02-06T00:00:00"/>
    <s v="C005"/>
    <s v="Karan Mehta"/>
    <x v="2"/>
    <x v="2"/>
    <x v="6"/>
    <n v="7500"/>
    <n v="2"/>
    <n v="0"/>
    <x v="70"/>
    <n v="4583.05"/>
    <d v="2025-12-19T18:29:06"/>
    <x v="2"/>
  </r>
  <r>
    <n v="1396"/>
    <d v="2024-01-13T00:00:00"/>
    <s v="C008"/>
    <s v="Pooja Nair"/>
    <x v="1"/>
    <x v="2"/>
    <x v="3"/>
    <n v="9500"/>
    <n v="4"/>
    <n v="0.1"/>
    <x v="39"/>
    <n v="6187.88"/>
    <d v="2025-12-19T18:29:06"/>
    <x v="0"/>
  </r>
  <r>
    <n v="1397"/>
    <d v="2024-01-11T00:00:00"/>
    <s v="C005"/>
    <s v="Karan Mehta"/>
    <x v="2"/>
    <x v="0"/>
    <x v="7"/>
    <n v="18000"/>
    <n v="5"/>
    <n v="0.1"/>
    <x v="156"/>
    <n v="23699"/>
    <d v="2025-12-19T18:29:06"/>
    <x v="0"/>
  </r>
  <r>
    <n v="1398"/>
    <d v="2024-04-14T00:00:00"/>
    <s v="C008"/>
    <s v="Pooja Nair"/>
    <x v="3"/>
    <x v="0"/>
    <x v="7"/>
    <n v="18000"/>
    <n v="3"/>
    <n v="0.1"/>
    <x v="59"/>
    <n v="10734.12"/>
    <d v="2025-12-19T18:29:06"/>
    <x v="3"/>
  </r>
  <r>
    <n v="1399"/>
    <d v="2024-03-27T00:00:00"/>
    <s v="C003"/>
    <s v="Rohit Singh"/>
    <x v="2"/>
    <x v="0"/>
    <x v="0"/>
    <n v="3000"/>
    <n v="1"/>
    <n v="0.05"/>
    <x v="114"/>
    <n v="862.97"/>
    <d v="2025-12-19T18:29:06"/>
    <x v="4"/>
  </r>
  <r>
    <n v="1400"/>
    <d v="2024-06-09T00:00:00"/>
    <s v="C001"/>
    <s v="Amit Sharma"/>
    <x v="1"/>
    <x v="0"/>
    <x v="7"/>
    <n v="18000"/>
    <n v="5"/>
    <n v="0.15"/>
    <x v="92"/>
    <n v="25550.6"/>
    <d v="2025-12-19T18:29:06"/>
    <x v="5"/>
  </r>
  <r>
    <n v="1401"/>
    <d v="2024-06-13T00:00:00"/>
    <s v="C012"/>
    <s v="Simran Kaur"/>
    <x v="1"/>
    <x v="0"/>
    <x v="7"/>
    <n v="18000"/>
    <n v="4"/>
    <n v="0.15"/>
    <x v="105"/>
    <n v="17647.64"/>
    <d v="2025-12-19T18:29:06"/>
    <x v="5"/>
  </r>
  <r>
    <n v="1402"/>
    <d v="2024-06-26T00:00:00"/>
    <s v="C010"/>
    <s v="Anjali Das"/>
    <x v="3"/>
    <x v="0"/>
    <x v="2"/>
    <n v="22000"/>
    <n v="3"/>
    <n v="0.15"/>
    <x v="157"/>
    <n v="17110.3"/>
    <d v="2025-12-19T18:29:06"/>
    <x v="5"/>
  </r>
  <r>
    <n v="1403"/>
    <d v="2024-04-13T00:00:00"/>
    <s v="C009"/>
    <s v="Vikas Gupta"/>
    <x v="0"/>
    <x v="0"/>
    <x v="2"/>
    <n v="22000"/>
    <n v="4"/>
    <n v="0.1"/>
    <x v="138"/>
    <n v="24525.72"/>
    <d v="2025-12-19T18:29:06"/>
    <x v="3"/>
  </r>
  <r>
    <n v="1404"/>
    <d v="2024-03-07T00:00:00"/>
    <s v="C008"/>
    <s v="Pooja Nair"/>
    <x v="3"/>
    <x v="2"/>
    <x v="6"/>
    <n v="7500"/>
    <n v="1"/>
    <n v="0.1"/>
    <x v="95"/>
    <n v="1670.08"/>
    <d v="2025-12-19T18:29:06"/>
    <x v="4"/>
  </r>
  <r>
    <n v="1405"/>
    <d v="2024-01-27T00:00:00"/>
    <s v="C003"/>
    <s v="Rohit Singh"/>
    <x v="0"/>
    <x v="0"/>
    <x v="0"/>
    <n v="3000"/>
    <n v="1"/>
    <n v="0.1"/>
    <x v="0"/>
    <n v="585.86"/>
    <d v="2025-12-19T18:29:06"/>
    <x v="0"/>
  </r>
  <r>
    <n v="1406"/>
    <d v="2024-06-28T00:00:00"/>
    <s v="C009"/>
    <s v="Vikas Gupta"/>
    <x v="1"/>
    <x v="0"/>
    <x v="4"/>
    <n v="55000"/>
    <n v="4"/>
    <n v="0.15"/>
    <x v="54"/>
    <n v="43238.61"/>
    <d v="2025-12-19T18:29:06"/>
    <x v="5"/>
  </r>
  <r>
    <n v="1407"/>
    <d v="2024-03-13T00:00:00"/>
    <s v="C004"/>
    <s v="Priya Patel"/>
    <x v="3"/>
    <x v="2"/>
    <x v="3"/>
    <n v="9500"/>
    <n v="5"/>
    <n v="0.1"/>
    <x v="158"/>
    <n v="12863.24"/>
    <d v="2025-12-19T18:29:06"/>
    <x v="4"/>
  </r>
  <r>
    <n v="1408"/>
    <d v="2024-04-26T00:00:00"/>
    <s v="C004"/>
    <s v="Priya Patel"/>
    <x v="2"/>
    <x v="2"/>
    <x v="3"/>
    <n v="9500"/>
    <n v="1"/>
    <n v="0.1"/>
    <x v="87"/>
    <n v="2272.65"/>
    <d v="2025-12-19T18:29:06"/>
    <x v="3"/>
  </r>
  <r>
    <n v="1409"/>
    <d v="2024-04-29T00:00:00"/>
    <s v="C007"/>
    <s v="Arjun Rao"/>
    <x v="1"/>
    <x v="0"/>
    <x v="2"/>
    <n v="22000"/>
    <n v="5"/>
    <n v="0.15"/>
    <x v="8"/>
    <n v="22781.58"/>
    <d v="2025-12-19T18:29:06"/>
    <x v="3"/>
  </r>
  <r>
    <n v="1410"/>
    <d v="2024-05-28T00:00:00"/>
    <s v="C010"/>
    <s v="Anjali Das"/>
    <x v="2"/>
    <x v="0"/>
    <x v="2"/>
    <n v="22000"/>
    <n v="3"/>
    <n v="0.05"/>
    <x v="32"/>
    <n v="11852.79"/>
    <d v="2025-12-19T18:29:06"/>
    <x v="1"/>
  </r>
  <r>
    <n v="1411"/>
    <d v="2024-04-15T00:00:00"/>
    <s v="C001"/>
    <s v="Amit Sharma"/>
    <x v="3"/>
    <x v="0"/>
    <x v="4"/>
    <n v="55000"/>
    <n v="5"/>
    <n v="0.1"/>
    <x v="49"/>
    <n v="57070.63"/>
    <d v="2025-12-19T18:29:06"/>
    <x v="3"/>
  </r>
  <r>
    <n v="1412"/>
    <d v="2024-02-02T00:00:00"/>
    <s v="C007"/>
    <s v="Arjun Rao"/>
    <x v="0"/>
    <x v="0"/>
    <x v="7"/>
    <n v="18000"/>
    <n v="5"/>
    <n v="0.1"/>
    <x v="156"/>
    <n v="19003.18"/>
    <d v="2025-12-19T18:29:06"/>
    <x v="2"/>
  </r>
  <r>
    <n v="1413"/>
    <d v="2024-05-03T00:00:00"/>
    <s v="C006"/>
    <s v="Sneha Iyer"/>
    <x v="1"/>
    <x v="0"/>
    <x v="0"/>
    <n v="3000"/>
    <n v="5"/>
    <n v="0"/>
    <x v="70"/>
    <n v="2505.23"/>
    <d v="2025-12-19T18:29:06"/>
    <x v="1"/>
  </r>
  <r>
    <n v="1414"/>
    <d v="2024-01-06T00:00:00"/>
    <s v="C005"/>
    <s v="Karan Mehta"/>
    <x v="3"/>
    <x v="0"/>
    <x v="0"/>
    <n v="3000"/>
    <n v="2"/>
    <n v="0.05"/>
    <x v="78"/>
    <n v="1709.22"/>
    <d v="2025-12-19T18:29:06"/>
    <x v="0"/>
  </r>
  <r>
    <n v="1415"/>
    <d v="2024-03-21T00:00:00"/>
    <s v="C011"/>
    <s v="Rahul Khanna"/>
    <x v="0"/>
    <x v="0"/>
    <x v="7"/>
    <n v="18000"/>
    <n v="5"/>
    <n v="0.1"/>
    <x v="156"/>
    <n v="19341.509999999998"/>
    <d v="2025-12-19T18:29:06"/>
    <x v="4"/>
  </r>
  <r>
    <n v="1416"/>
    <d v="2024-01-16T00:00:00"/>
    <s v="C006"/>
    <s v="Sneha Iyer"/>
    <x v="3"/>
    <x v="0"/>
    <x v="2"/>
    <n v="22000"/>
    <n v="5"/>
    <n v="0.1"/>
    <x v="117"/>
    <n v="17736.54"/>
    <d v="2025-12-19T18:29:06"/>
    <x v="0"/>
  </r>
  <r>
    <n v="1417"/>
    <d v="2024-01-05T00:00:00"/>
    <s v="C006"/>
    <s v="Sneha Iyer"/>
    <x v="1"/>
    <x v="0"/>
    <x v="0"/>
    <n v="3000"/>
    <n v="4"/>
    <n v="0.05"/>
    <x v="44"/>
    <n v="2300.66"/>
    <d v="2025-12-19T18:29:06"/>
    <x v="0"/>
  </r>
  <r>
    <n v="1418"/>
    <d v="2024-02-01T00:00:00"/>
    <s v="C009"/>
    <s v="Vikas Gupta"/>
    <x v="3"/>
    <x v="0"/>
    <x v="2"/>
    <n v="22000"/>
    <n v="1"/>
    <n v="0"/>
    <x v="34"/>
    <n v="4041.83"/>
    <d v="2025-12-19T18:29:06"/>
    <x v="2"/>
  </r>
  <r>
    <n v="1419"/>
    <d v="2024-05-14T00:00:00"/>
    <s v="C002"/>
    <s v="Neha Verma"/>
    <x v="2"/>
    <x v="1"/>
    <x v="8"/>
    <n v="500"/>
    <n v="2"/>
    <n v="0"/>
    <x v="1"/>
    <n v="209.27"/>
    <d v="2025-12-19T18:29:06"/>
    <x v="1"/>
  </r>
  <r>
    <n v="1420"/>
    <d v="2024-02-12T00:00:00"/>
    <s v="C005"/>
    <s v="Karan Mehta"/>
    <x v="1"/>
    <x v="0"/>
    <x v="0"/>
    <n v="3000"/>
    <n v="5"/>
    <n v="0.05"/>
    <x v="69"/>
    <n v="3518.57"/>
    <d v="2025-12-19T18:29:06"/>
    <x v="2"/>
  </r>
  <r>
    <n v="1421"/>
    <d v="2024-03-30T00:00:00"/>
    <s v="C003"/>
    <s v="Rohit Singh"/>
    <x v="1"/>
    <x v="0"/>
    <x v="0"/>
    <n v="3000"/>
    <n v="1"/>
    <n v="0"/>
    <x v="43"/>
    <n v="628.82000000000005"/>
    <d v="2025-12-19T18:29:06"/>
    <x v="4"/>
  </r>
  <r>
    <n v="1422"/>
    <d v="2024-01-16T00:00:00"/>
    <s v="C009"/>
    <s v="Vikas Gupta"/>
    <x v="1"/>
    <x v="0"/>
    <x v="2"/>
    <n v="22000"/>
    <n v="2"/>
    <n v="0.05"/>
    <x v="24"/>
    <n v="13331.64"/>
    <d v="2025-12-19T18:29:06"/>
    <x v="0"/>
  </r>
  <r>
    <n v="1423"/>
    <d v="2024-04-02T00:00:00"/>
    <s v="C003"/>
    <s v="Rohit Singh"/>
    <x v="2"/>
    <x v="0"/>
    <x v="7"/>
    <n v="18000"/>
    <n v="4"/>
    <n v="0.15"/>
    <x v="105"/>
    <n v="14152.38"/>
    <d v="2025-12-19T18:29:06"/>
    <x v="3"/>
  </r>
  <r>
    <n v="1424"/>
    <d v="2024-06-13T00:00:00"/>
    <s v="C002"/>
    <s v="Neha Verma"/>
    <x v="3"/>
    <x v="1"/>
    <x v="5"/>
    <n v="350"/>
    <n v="4"/>
    <n v="0.1"/>
    <x v="15"/>
    <n v="301.64999999999998"/>
    <d v="2025-12-19T18:29:06"/>
    <x v="5"/>
  </r>
  <r>
    <n v="1425"/>
    <d v="2024-04-16T00:00:00"/>
    <s v="C003"/>
    <s v="Rohit Singh"/>
    <x v="0"/>
    <x v="1"/>
    <x v="8"/>
    <n v="500"/>
    <n v="3"/>
    <n v="0"/>
    <x v="76"/>
    <n v="393.38"/>
    <d v="2025-12-19T18:29:06"/>
    <x v="3"/>
  </r>
  <r>
    <n v="1426"/>
    <d v="2024-03-06T00:00:00"/>
    <s v="C006"/>
    <s v="Sneha Iyer"/>
    <x v="0"/>
    <x v="2"/>
    <x v="6"/>
    <n v="7500"/>
    <n v="1"/>
    <n v="0"/>
    <x v="50"/>
    <n v="1825.56"/>
    <d v="2025-12-19T18:29:06"/>
    <x v="4"/>
  </r>
  <r>
    <n v="1427"/>
    <d v="2024-01-26T00:00:00"/>
    <s v="C007"/>
    <s v="Arjun Rao"/>
    <x v="3"/>
    <x v="1"/>
    <x v="5"/>
    <n v="350"/>
    <n v="4"/>
    <n v="0"/>
    <x v="106"/>
    <n v="364.19"/>
    <d v="2025-12-19T18:29:06"/>
    <x v="0"/>
  </r>
  <r>
    <n v="1428"/>
    <d v="2024-03-17T00:00:00"/>
    <s v="C009"/>
    <s v="Vikas Gupta"/>
    <x v="1"/>
    <x v="0"/>
    <x v="0"/>
    <n v="3000"/>
    <n v="1"/>
    <n v="0.15"/>
    <x v="159"/>
    <n v="706.42"/>
    <d v="2025-12-19T18:29:06"/>
    <x v="4"/>
  </r>
  <r>
    <n v="1429"/>
    <d v="2024-02-20T00:00:00"/>
    <s v="C002"/>
    <s v="Neha Verma"/>
    <x v="2"/>
    <x v="0"/>
    <x v="4"/>
    <n v="55000"/>
    <n v="3"/>
    <n v="0.05"/>
    <x v="132"/>
    <n v="28488.66"/>
    <d v="2025-12-19T18:29:06"/>
    <x v="2"/>
  </r>
  <r>
    <n v="1430"/>
    <d v="2024-04-13T00:00:00"/>
    <s v="C009"/>
    <s v="Vikas Gupta"/>
    <x v="2"/>
    <x v="0"/>
    <x v="2"/>
    <n v="22000"/>
    <n v="2"/>
    <n v="0.15"/>
    <x v="7"/>
    <n v="7118.86"/>
    <d v="2025-12-19T18:29:06"/>
    <x v="3"/>
  </r>
  <r>
    <n v="1431"/>
    <d v="2024-03-06T00:00:00"/>
    <s v="C010"/>
    <s v="Anjali Das"/>
    <x v="1"/>
    <x v="2"/>
    <x v="3"/>
    <n v="9500"/>
    <n v="5"/>
    <n v="0.15"/>
    <x v="11"/>
    <n v="13592.35"/>
    <d v="2025-12-19T18:29:06"/>
    <x v="4"/>
  </r>
  <r>
    <n v="1432"/>
    <d v="2024-01-20T00:00:00"/>
    <s v="C005"/>
    <s v="Karan Mehta"/>
    <x v="1"/>
    <x v="0"/>
    <x v="0"/>
    <n v="3000"/>
    <n v="2"/>
    <n v="0.1"/>
    <x v="111"/>
    <n v="1745.2"/>
    <d v="2025-12-19T18:29:06"/>
    <x v="0"/>
  </r>
  <r>
    <n v="1433"/>
    <d v="2024-01-02T00:00:00"/>
    <s v="C009"/>
    <s v="Vikas Gupta"/>
    <x v="3"/>
    <x v="0"/>
    <x v="0"/>
    <n v="3000"/>
    <n v="1"/>
    <n v="0"/>
    <x v="43"/>
    <n v="769.01"/>
    <d v="2025-12-19T18:29:06"/>
    <x v="0"/>
  </r>
  <r>
    <n v="1434"/>
    <d v="2024-06-09T00:00:00"/>
    <s v="C006"/>
    <s v="Sneha Iyer"/>
    <x v="1"/>
    <x v="0"/>
    <x v="2"/>
    <n v="22000"/>
    <n v="1"/>
    <n v="0.15"/>
    <x v="126"/>
    <n v="3421.71"/>
    <d v="2025-12-19T18:29:06"/>
    <x v="5"/>
  </r>
  <r>
    <n v="1435"/>
    <d v="2024-05-22T00:00:00"/>
    <s v="C012"/>
    <s v="Simran Kaur"/>
    <x v="2"/>
    <x v="1"/>
    <x v="8"/>
    <n v="500"/>
    <n v="2"/>
    <n v="0.05"/>
    <x v="143"/>
    <n v="199.7"/>
    <d v="2025-12-19T18:29:06"/>
    <x v="1"/>
  </r>
  <r>
    <n v="1436"/>
    <d v="2024-05-19T00:00:00"/>
    <s v="C001"/>
    <s v="Amit Sharma"/>
    <x v="1"/>
    <x v="1"/>
    <x v="8"/>
    <n v="500"/>
    <n v="4"/>
    <n v="0.1"/>
    <x v="52"/>
    <n v="519.01"/>
    <d v="2025-12-19T18:29:06"/>
    <x v="1"/>
  </r>
  <r>
    <n v="1437"/>
    <d v="2024-02-23T00:00:00"/>
    <s v="C009"/>
    <s v="Vikas Gupta"/>
    <x v="1"/>
    <x v="2"/>
    <x v="9"/>
    <n v="12000"/>
    <n v="5"/>
    <n v="0.15"/>
    <x v="35"/>
    <n v="15838.6"/>
    <d v="2025-12-19T18:29:06"/>
    <x v="2"/>
  </r>
  <r>
    <n v="1438"/>
    <d v="2024-06-28T00:00:00"/>
    <s v="C006"/>
    <s v="Sneha Iyer"/>
    <x v="1"/>
    <x v="0"/>
    <x v="4"/>
    <n v="55000"/>
    <n v="1"/>
    <n v="0.05"/>
    <x v="123"/>
    <n v="10833.03"/>
    <d v="2025-12-19T18:29:06"/>
    <x v="5"/>
  </r>
  <r>
    <n v="1439"/>
    <d v="2024-04-28T00:00:00"/>
    <s v="C003"/>
    <s v="Rohit Singh"/>
    <x v="0"/>
    <x v="0"/>
    <x v="4"/>
    <n v="55000"/>
    <n v="4"/>
    <n v="0.15"/>
    <x v="54"/>
    <n v="29036.75"/>
    <d v="2025-12-19T18:29:06"/>
    <x v="3"/>
  </r>
  <r>
    <n v="1440"/>
    <d v="2024-01-29T00:00:00"/>
    <s v="C012"/>
    <s v="Simran Kaur"/>
    <x v="0"/>
    <x v="0"/>
    <x v="7"/>
    <n v="18000"/>
    <n v="2"/>
    <n v="0"/>
    <x v="63"/>
    <n v="7348.94"/>
    <d v="2025-12-19T18:29:06"/>
    <x v="0"/>
  </r>
  <r>
    <n v="1441"/>
    <d v="2024-05-29T00:00:00"/>
    <s v="C007"/>
    <s v="Arjun Rao"/>
    <x v="2"/>
    <x v="1"/>
    <x v="8"/>
    <n v="500"/>
    <n v="4"/>
    <n v="0"/>
    <x v="82"/>
    <n v="692.82"/>
    <d v="2025-12-19T18:29:06"/>
    <x v="1"/>
  </r>
  <r>
    <n v="1442"/>
    <d v="2024-01-06T00:00:00"/>
    <s v="C002"/>
    <s v="Neha Verma"/>
    <x v="2"/>
    <x v="0"/>
    <x v="2"/>
    <n v="22000"/>
    <n v="2"/>
    <n v="0.05"/>
    <x v="24"/>
    <n v="12978.3"/>
    <d v="2025-12-19T18:29:06"/>
    <x v="0"/>
  </r>
  <r>
    <n v="1443"/>
    <d v="2024-02-13T00:00:00"/>
    <s v="C006"/>
    <s v="Sneha Iyer"/>
    <x v="3"/>
    <x v="1"/>
    <x v="1"/>
    <n v="200"/>
    <n v="5"/>
    <n v="0.15"/>
    <x v="64"/>
    <n v="267"/>
    <d v="2025-12-19T18:29:06"/>
    <x v="2"/>
  </r>
  <r>
    <n v="1444"/>
    <d v="2024-04-13T00:00:00"/>
    <s v="C011"/>
    <s v="Rahul Khanna"/>
    <x v="1"/>
    <x v="0"/>
    <x v="0"/>
    <n v="3000"/>
    <n v="3"/>
    <n v="0"/>
    <x v="72"/>
    <n v="2717.13"/>
    <d v="2025-12-19T18:29:06"/>
    <x v="3"/>
  </r>
  <r>
    <n v="1445"/>
    <d v="2024-02-25T00:00:00"/>
    <s v="C006"/>
    <s v="Sneha Iyer"/>
    <x v="1"/>
    <x v="2"/>
    <x v="9"/>
    <n v="12000"/>
    <n v="1"/>
    <n v="0.15"/>
    <x v="74"/>
    <n v="1868.86"/>
    <d v="2025-12-19T18:29:06"/>
    <x v="2"/>
  </r>
  <r>
    <n v="1446"/>
    <d v="2024-06-12T00:00:00"/>
    <s v="C011"/>
    <s v="Rahul Khanna"/>
    <x v="3"/>
    <x v="1"/>
    <x v="1"/>
    <n v="200"/>
    <n v="2"/>
    <n v="0.15"/>
    <x v="131"/>
    <n v="60.71"/>
    <d v="2025-12-19T18:29:06"/>
    <x v="5"/>
  </r>
  <r>
    <n v="1447"/>
    <d v="2024-01-25T00:00:00"/>
    <s v="C012"/>
    <s v="Simran Kaur"/>
    <x v="0"/>
    <x v="2"/>
    <x v="3"/>
    <n v="9500"/>
    <n v="2"/>
    <n v="0.15"/>
    <x v="160"/>
    <n v="3646.66"/>
    <d v="2025-12-19T18:29:06"/>
    <x v="0"/>
  </r>
  <r>
    <n v="1448"/>
    <d v="2024-06-04T00:00:00"/>
    <s v="C009"/>
    <s v="Vikas Gupta"/>
    <x v="1"/>
    <x v="1"/>
    <x v="8"/>
    <n v="500"/>
    <n v="5"/>
    <n v="0.05"/>
    <x v="37"/>
    <n v="389.51"/>
    <d v="2025-12-19T18:29:06"/>
    <x v="5"/>
  </r>
  <r>
    <n v="1449"/>
    <d v="2024-02-13T00:00:00"/>
    <s v="C008"/>
    <s v="Pooja Nair"/>
    <x v="3"/>
    <x v="0"/>
    <x v="0"/>
    <n v="3000"/>
    <n v="5"/>
    <n v="0.05"/>
    <x v="69"/>
    <n v="3581.59"/>
    <d v="2025-12-19T18:29:06"/>
    <x v="2"/>
  </r>
  <r>
    <n v="1450"/>
    <d v="2024-01-26T00:00:00"/>
    <s v="C005"/>
    <s v="Karan Mehta"/>
    <x v="3"/>
    <x v="0"/>
    <x v="7"/>
    <n v="18000"/>
    <n v="3"/>
    <n v="0.1"/>
    <x v="59"/>
    <n v="11239.46"/>
    <d v="2025-12-19T18:29:06"/>
    <x v="0"/>
  </r>
  <r>
    <n v="1451"/>
    <d v="2024-02-26T00:00:00"/>
    <s v="C010"/>
    <s v="Anjali Das"/>
    <x v="3"/>
    <x v="2"/>
    <x v="3"/>
    <n v="9500"/>
    <n v="5"/>
    <n v="0.05"/>
    <x v="31"/>
    <n v="11265.14"/>
    <d v="2025-12-19T18:29:06"/>
    <x v="2"/>
  </r>
  <r>
    <n v="1452"/>
    <d v="2024-01-19T00:00:00"/>
    <s v="C009"/>
    <s v="Vikas Gupta"/>
    <x v="2"/>
    <x v="0"/>
    <x v="7"/>
    <n v="18000"/>
    <n v="5"/>
    <n v="0"/>
    <x v="137"/>
    <n v="19116.099999999999"/>
    <d v="2025-12-19T18:29:06"/>
    <x v="0"/>
  </r>
  <r>
    <n v="1453"/>
    <d v="2024-01-11T00:00:00"/>
    <s v="C006"/>
    <s v="Sneha Iyer"/>
    <x v="2"/>
    <x v="0"/>
    <x v="2"/>
    <n v="22000"/>
    <n v="4"/>
    <n v="0"/>
    <x v="125"/>
    <n v="16020.36"/>
    <d v="2025-12-19T18:29:06"/>
    <x v="0"/>
  </r>
  <r>
    <n v="1454"/>
    <d v="2024-01-18T00:00:00"/>
    <s v="C003"/>
    <s v="Rohit Singh"/>
    <x v="0"/>
    <x v="2"/>
    <x v="3"/>
    <n v="9500"/>
    <n v="1"/>
    <n v="0.05"/>
    <x v="112"/>
    <n v="3045.84"/>
    <d v="2025-12-19T18:29:06"/>
    <x v="0"/>
  </r>
  <r>
    <n v="1455"/>
    <d v="2024-03-09T00:00:00"/>
    <s v="C002"/>
    <s v="Neha Verma"/>
    <x v="2"/>
    <x v="0"/>
    <x v="2"/>
    <n v="22000"/>
    <n v="4"/>
    <n v="0.05"/>
    <x v="142"/>
    <n v="24809.14"/>
    <d v="2025-12-19T18:29:06"/>
    <x v="4"/>
  </r>
  <r>
    <n v="1456"/>
    <d v="2024-04-02T00:00:00"/>
    <s v="C003"/>
    <s v="Rohit Singh"/>
    <x v="0"/>
    <x v="0"/>
    <x v="4"/>
    <n v="55000"/>
    <n v="1"/>
    <n v="0.1"/>
    <x v="121"/>
    <n v="10968.19"/>
    <d v="2025-12-19T18:29:06"/>
    <x v="3"/>
  </r>
  <r>
    <n v="1457"/>
    <d v="2024-04-28T00:00:00"/>
    <s v="C003"/>
    <s v="Rohit Singh"/>
    <x v="3"/>
    <x v="0"/>
    <x v="2"/>
    <n v="22000"/>
    <n v="4"/>
    <n v="0.1"/>
    <x v="138"/>
    <n v="12016.97"/>
    <d v="2025-12-19T18:29:06"/>
    <x v="3"/>
  </r>
  <r>
    <n v="1458"/>
    <d v="2024-04-03T00:00:00"/>
    <s v="C001"/>
    <s v="Amit Sharma"/>
    <x v="2"/>
    <x v="0"/>
    <x v="7"/>
    <n v="18000"/>
    <n v="3"/>
    <n v="0.1"/>
    <x v="59"/>
    <n v="9019.41"/>
    <d v="2025-12-19T18:29:06"/>
    <x v="3"/>
  </r>
  <r>
    <n v="1459"/>
    <d v="2024-04-12T00:00:00"/>
    <s v="C006"/>
    <s v="Sneha Iyer"/>
    <x v="0"/>
    <x v="0"/>
    <x v="4"/>
    <n v="55000"/>
    <n v="1"/>
    <n v="0.15"/>
    <x v="91"/>
    <n v="9941.99"/>
    <d v="2025-12-19T18:29:06"/>
    <x v="3"/>
  </r>
  <r>
    <n v="1460"/>
    <d v="2024-04-28T00:00:00"/>
    <s v="C006"/>
    <s v="Sneha Iyer"/>
    <x v="1"/>
    <x v="2"/>
    <x v="9"/>
    <n v="12000"/>
    <n v="4"/>
    <n v="0.1"/>
    <x v="99"/>
    <n v="8817.4599999999991"/>
    <d v="2025-12-19T18:29:06"/>
    <x v="3"/>
  </r>
  <r>
    <n v="1461"/>
    <d v="2024-02-29T00:00:00"/>
    <s v="C008"/>
    <s v="Pooja Nair"/>
    <x v="1"/>
    <x v="2"/>
    <x v="6"/>
    <n v="7500"/>
    <n v="2"/>
    <n v="0.15"/>
    <x v="18"/>
    <n v="4377.92"/>
    <d v="2025-12-19T18:29:06"/>
    <x v="2"/>
  </r>
  <r>
    <n v="1462"/>
    <d v="2024-03-05T00:00:00"/>
    <s v="C007"/>
    <s v="Arjun Rao"/>
    <x v="2"/>
    <x v="1"/>
    <x v="1"/>
    <n v="200"/>
    <n v="4"/>
    <n v="0"/>
    <x v="21"/>
    <n v="200.75"/>
    <d v="2025-12-19T18:29:06"/>
    <x v="4"/>
  </r>
  <r>
    <n v="1463"/>
    <d v="2024-05-14T00:00:00"/>
    <s v="C007"/>
    <s v="Arjun Rao"/>
    <x v="2"/>
    <x v="0"/>
    <x v="4"/>
    <n v="55000"/>
    <n v="2"/>
    <n v="0"/>
    <x v="3"/>
    <n v="26150.84"/>
    <d v="2025-12-19T18:29:06"/>
    <x v="1"/>
  </r>
  <r>
    <n v="1464"/>
    <d v="2024-04-18T00:00:00"/>
    <s v="C006"/>
    <s v="Sneha Iyer"/>
    <x v="2"/>
    <x v="1"/>
    <x v="8"/>
    <n v="500"/>
    <n v="4"/>
    <n v="0.1"/>
    <x v="52"/>
    <n v="342.8"/>
    <d v="2025-12-19T18:29:06"/>
    <x v="3"/>
  </r>
  <r>
    <n v="1465"/>
    <d v="2024-02-02T00:00:00"/>
    <s v="C010"/>
    <s v="Anjali Das"/>
    <x v="0"/>
    <x v="0"/>
    <x v="2"/>
    <n v="22000"/>
    <n v="5"/>
    <n v="0"/>
    <x v="3"/>
    <n v="29081.09"/>
    <d v="2025-12-19T18:29:06"/>
    <x v="2"/>
  </r>
  <r>
    <n v="1466"/>
    <d v="2024-02-19T00:00:00"/>
    <s v="C009"/>
    <s v="Vikas Gupta"/>
    <x v="0"/>
    <x v="0"/>
    <x v="7"/>
    <n v="18000"/>
    <n v="1"/>
    <n v="0.15"/>
    <x v="16"/>
    <n v="4182.05"/>
    <d v="2025-12-19T18:29:06"/>
    <x v="2"/>
  </r>
  <r>
    <n v="1467"/>
    <d v="2024-04-19T00:00:00"/>
    <s v="C005"/>
    <s v="Karan Mehta"/>
    <x v="2"/>
    <x v="0"/>
    <x v="7"/>
    <n v="18000"/>
    <n v="5"/>
    <n v="0.15"/>
    <x v="92"/>
    <n v="21240.61"/>
    <d v="2025-12-19T18:29:06"/>
    <x v="3"/>
  </r>
  <r>
    <n v="1468"/>
    <d v="2024-06-19T00:00:00"/>
    <s v="C007"/>
    <s v="Arjun Rao"/>
    <x v="2"/>
    <x v="2"/>
    <x v="6"/>
    <n v="7500"/>
    <n v="4"/>
    <n v="0"/>
    <x v="77"/>
    <n v="7523.8"/>
    <d v="2025-12-19T18:29:06"/>
    <x v="5"/>
  </r>
  <r>
    <n v="1469"/>
    <d v="2024-05-12T00:00:00"/>
    <s v="C004"/>
    <s v="Priya Patel"/>
    <x v="1"/>
    <x v="1"/>
    <x v="1"/>
    <n v="200"/>
    <n v="5"/>
    <n v="0.05"/>
    <x v="143"/>
    <n v="330.7"/>
    <d v="2025-12-19T18:29:06"/>
    <x v="1"/>
  </r>
  <r>
    <n v="1470"/>
    <d v="2024-06-22T00:00:00"/>
    <s v="C009"/>
    <s v="Vikas Gupta"/>
    <x v="1"/>
    <x v="2"/>
    <x v="9"/>
    <n v="12000"/>
    <n v="3"/>
    <n v="0.15"/>
    <x v="58"/>
    <n v="7356.54"/>
    <d v="2025-12-19T18:29:06"/>
    <x v="5"/>
  </r>
  <r>
    <n v="1471"/>
    <d v="2024-02-20T00:00:00"/>
    <s v="C011"/>
    <s v="Rahul Khanna"/>
    <x v="0"/>
    <x v="2"/>
    <x v="3"/>
    <n v="9500"/>
    <n v="3"/>
    <n v="0.15"/>
    <x v="61"/>
    <n v="6365.15"/>
    <d v="2025-12-19T18:29:06"/>
    <x v="2"/>
  </r>
  <r>
    <n v="1472"/>
    <d v="2024-05-06T00:00:00"/>
    <s v="C001"/>
    <s v="Amit Sharma"/>
    <x v="0"/>
    <x v="1"/>
    <x v="8"/>
    <n v="500"/>
    <n v="1"/>
    <n v="0"/>
    <x v="60"/>
    <n v="171.32"/>
    <d v="2025-12-19T18:29:06"/>
    <x v="1"/>
  </r>
  <r>
    <n v="1473"/>
    <d v="2024-01-31T00:00:00"/>
    <s v="C009"/>
    <s v="Vikas Gupta"/>
    <x v="3"/>
    <x v="1"/>
    <x v="5"/>
    <n v="350"/>
    <n v="3"/>
    <n v="0.05"/>
    <x v="145"/>
    <n v="205.83"/>
    <d v="2025-12-19T18:29:06"/>
    <x v="0"/>
  </r>
  <r>
    <n v="1474"/>
    <d v="2024-05-31T00:00:00"/>
    <s v="C003"/>
    <s v="Rohit Singh"/>
    <x v="2"/>
    <x v="0"/>
    <x v="0"/>
    <n v="3000"/>
    <n v="1"/>
    <n v="0.05"/>
    <x v="114"/>
    <n v="853.78"/>
    <d v="2025-12-19T18:29:06"/>
    <x v="1"/>
  </r>
  <r>
    <n v="1475"/>
    <d v="2024-06-29T00:00:00"/>
    <s v="C002"/>
    <s v="Neha Verma"/>
    <x v="2"/>
    <x v="0"/>
    <x v="2"/>
    <n v="22000"/>
    <n v="4"/>
    <n v="0.15"/>
    <x v="101"/>
    <n v="24136.93"/>
    <d v="2025-12-19T18:29:06"/>
    <x v="5"/>
  </r>
  <r>
    <n v="1476"/>
    <d v="2024-02-14T00:00:00"/>
    <s v="C005"/>
    <s v="Karan Mehta"/>
    <x v="2"/>
    <x v="2"/>
    <x v="9"/>
    <n v="12000"/>
    <n v="1"/>
    <n v="0.05"/>
    <x v="44"/>
    <n v="3129.81"/>
    <d v="2025-12-19T18:29:06"/>
    <x v="2"/>
  </r>
  <r>
    <n v="1477"/>
    <d v="2024-04-30T00:00:00"/>
    <s v="C003"/>
    <s v="Rohit Singh"/>
    <x v="0"/>
    <x v="0"/>
    <x v="4"/>
    <n v="55000"/>
    <n v="1"/>
    <n v="0.05"/>
    <x v="123"/>
    <n v="17956.98"/>
    <d v="2025-12-19T18:29:06"/>
    <x v="3"/>
  </r>
  <r>
    <n v="1478"/>
    <d v="2024-04-14T00:00:00"/>
    <s v="C012"/>
    <s v="Simran Kaur"/>
    <x v="1"/>
    <x v="1"/>
    <x v="5"/>
    <n v="350"/>
    <n v="1"/>
    <n v="0"/>
    <x v="10"/>
    <n v="98.23"/>
    <d v="2025-12-19T18:29:06"/>
    <x v="3"/>
  </r>
  <r>
    <n v="1479"/>
    <d v="2024-06-12T00:00:00"/>
    <s v="C002"/>
    <s v="Neha Verma"/>
    <x v="3"/>
    <x v="2"/>
    <x v="9"/>
    <n v="12000"/>
    <n v="5"/>
    <n v="0.15"/>
    <x v="35"/>
    <n v="10668.64"/>
    <d v="2025-12-19T18:29:06"/>
    <x v="5"/>
  </r>
  <r>
    <n v="1480"/>
    <d v="2024-05-26T00:00:00"/>
    <s v="C005"/>
    <s v="Karan Mehta"/>
    <x v="2"/>
    <x v="0"/>
    <x v="7"/>
    <n v="18000"/>
    <n v="5"/>
    <n v="0.05"/>
    <x v="120"/>
    <n v="13694.38"/>
    <d v="2025-12-19T18:29:06"/>
    <x v="1"/>
  </r>
  <r>
    <n v="1481"/>
    <d v="2024-01-06T00:00:00"/>
    <s v="C002"/>
    <s v="Neha Verma"/>
    <x v="3"/>
    <x v="1"/>
    <x v="5"/>
    <n v="350"/>
    <n v="3"/>
    <n v="0.05"/>
    <x v="145"/>
    <n v="225.91"/>
    <d v="2025-12-19T18:29:06"/>
    <x v="0"/>
  </r>
  <r>
    <n v="1482"/>
    <d v="2024-05-18T00:00:00"/>
    <s v="C009"/>
    <s v="Vikas Gupta"/>
    <x v="3"/>
    <x v="2"/>
    <x v="3"/>
    <n v="9500"/>
    <n v="1"/>
    <n v="0.05"/>
    <x v="112"/>
    <n v="2904.96"/>
    <d v="2025-12-19T18:29:06"/>
    <x v="1"/>
  </r>
  <r>
    <n v="1483"/>
    <d v="2024-02-12T00:00:00"/>
    <s v="C010"/>
    <s v="Anjali Das"/>
    <x v="1"/>
    <x v="1"/>
    <x v="8"/>
    <n v="500"/>
    <n v="1"/>
    <n v="0.05"/>
    <x v="94"/>
    <n v="75.14"/>
    <d v="2025-12-19T18:29:06"/>
    <x v="2"/>
  </r>
  <r>
    <n v="1484"/>
    <d v="2024-02-26T00:00:00"/>
    <s v="C010"/>
    <s v="Anjali Das"/>
    <x v="1"/>
    <x v="1"/>
    <x v="5"/>
    <n v="350"/>
    <n v="1"/>
    <n v="0.05"/>
    <x v="161"/>
    <n v="68.849999999999994"/>
    <d v="2025-12-19T18:29:06"/>
    <x v="2"/>
  </r>
  <r>
    <n v="1485"/>
    <d v="2024-05-05T00:00:00"/>
    <s v="C006"/>
    <s v="Sneha Iyer"/>
    <x v="3"/>
    <x v="0"/>
    <x v="4"/>
    <n v="55000"/>
    <n v="4"/>
    <n v="0.15"/>
    <x v="54"/>
    <n v="39991.72"/>
    <d v="2025-12-19T18:29:06"/>
    <x v="1"/>
  </r>
  <r>
    <n v="1486"/>
    <d v="2024-02-21T00:00:00"/>
    <s v="C001"/>
    <s v="Amit Sharma"/>
    <x v="1"/>
    <x v="2"/>
    <x v="3"/>
    <n v="9500"/>
    <n v="1"/>
    <n v="0.1"/>
    <x v="87"/>
    <n v="2822.04"/>
    <d v="2025-12-19T18:29:06"/>
    <x v="2"/>
  </r>
  <r>
    <n v="1487"/>
    <d v="2024-02-22T00:00:00"/>
    <s v="C010"/>
    <s v="Anjali Das"/>
    <x v="3"/>
    <x v="2"/>
    <x v="6"/>
    <n v="7500"/>
    <n v="3"/>
    <n v="0.05"/>
    <x v="14"/>
    <n v="5727.08"/>
    <d v="2025-12-19T18:29:06"/>
    <x v="2"/>
  </r>
  <r>
    <n v="1488"/>
    <d v="2024-04-29T00:00:00"/>
    <s v="C006"/>
    <s v="Sneha Iyer"/>
    <x v="2"/>
    <x v="0"/>
    <x v="0"/>
    <n v="3000"/>
    <n v="4"/>
    <n v="0.15"/>
    <x v="74"/>
    <n v="2117.5300000000002"/>
    <d v="2025-12-19T18:29:06"/>
    <x v="3"/>
  </r>
  <r>
    <n v="1489"/>
    <d v="2024-06-04T00:00:00"/>
    <s v="C011"/>
    <s v="Rahul Khanna"/>
    <x v="2"/>
    <x v="2"/>
    <x v="9"/>
    <n v="12000"/>
    <n v="1"/>
    <n v="0.1"/>
    <x v="119"/>
    <n v="2314.5500000000002"/>
    <d v="2025-12-19T18:29:06"/>
    <x v="5"/>
  </r>
  <r>
    <n v="1490"/>
    <d v="2024-05-24T00:00:00"/>
    <s v="C010"/>
    <s v="Anjali Das"/>
    <x v="0"/>
    <x v="2"/>
    <x v="9"/>
    <n v="12000"/>
    <n v="5"/>
    <n v="0"/>
    <x v="62"/>
    <n v="12364.08"/>
    <d v="2025-12-19T18:29:06"/>
    <x v="1"/>
  </r>
  <r>
    <n v="1491"/>
    <d v="2024-04-09T00:00:00"/>
    <s v="C012"/>
    <s v="Simran Kaur"/>
    <x v="2"/>
    <x v="2"/>
    <x v="9"/>
    <n v="12000"/>
    <n v="2"/>
    <n v="0.1"/>
    <x v="96"/>
    <n v="3876.07"/>
    <d v="2025-12-19T18:29:06"/>
    <x v="3"/>
  </r>
  <r>
    <n v="1492"/>
    <d v="2024-02-15T00:00:00"/>
    <s v="C007"/>
    <s v="Arjun Rao"/>
    <x v="0"/>
    <x v="1"/>
    <x v="1"/>
    <n v="200"/>
    <n v="5"/>
    <n v="0.05"/>
    <x v="143"/>
    <n v="206.88"/>
    <d v="2025-12-19T18:29:06"/>
    <x v="2"/>
  </r>
  <r>
    <n v="1493"/>
    <d v="2024-02-18T00:00:00"/>
    <s v="C009"/>
    <s v="Vikas Gupta"/>
    <x v="1"/>
    <x v="0"/>
    <x v="0"/>
    <n v="3000"/>
    <n v="2"/>
    <n v="0.05"/>
    <x v="78"/>
    <n v="880.35"/>
    <d v="2025-12-19T18:29:06"/>
    <x v="2"/>
  </r>
  <r>
    <n v="1494"/>
    <d v="2024-04-30T00:00:00"/>
    <s v="C012"/>
    <s v="Simran Kaur"/>
    <x v="0"/>
    <x v="1"/>
    <x v="5"/>
    <n v="350"/>
    <n v="2"/>
    <n v="0"/>
    <x v="162"/>
    <n v="169.45"/>
    <d v="2025-12-19T18:29:06"/>
    <x v="3"/>
  </r>
  <r>
    <n v="1495"/>
    <d v="2024-02-24T00:00:00"/>
    <s v="C010"/>
    <s v="Anjali Das"/>
    <x v="3"/>
    <x v="0"/>
    <x v="4"/>
    <n v="55000"/>
    <n v="3"/>
    <n v="0.05"/>
    <x v="132"/>
    <n v="27357.19"/>
    <d v="2025-12-19T18:29:06"/>
    <x v="2"/>
  </r>
  <r>
    <n v="1496"/>
    <d v="2024-02-21T00:00:00"/>
    <s v="C008"/>
    <s v="Pooja Nair"/>
    <x v="3"/>
    <x v="0"/>
    <x v="4"/>
    <n v="55000"/>
    <n v="1"/>
    <n v="0"/>
    <x v="81"/>
    <n v="8984.39"/>
    <d v="2025-12-19T18:29:06"/>
    <x v="2"/>
  </r>
  <r>
    <n v="1497"/>
    <d v="2024-03-18T00:00:00"/>
    <s v="C005"/>
    <s v="Karan Mehta"/>
    <x v="0"/>
    <x v="2"/>
    <x v="6"/>
    <n v="7500"/>
    <n v="1"/>
    <n v="0.15"/>
    <x v="36"/>
    <n v="1207.74"/>
    <d v="2025-12-19T18:29:06"/>
    <x v="4"/>
  </r>
  <r>
    <n v="1498"/>
    <d v="2024-01-31T00:00:00"/>
    <s v="C007"/>
    <s v="Arjun Rao"/>
    <x v="2"/>
    <x v="2"/>
    <x v="9"/>
    <n v="12000"/>
    <n v="1"/>
    <n v="0.1"/>
    <x v="119"/>
    <n v="2060.5700000000002"/>
    <d v="2025-12-19T18:29:06"/>
    <x v="0"/>
  </r>
  <r>
    <n v="1499"/>
    <d v="2024-06-12T00:00:00"/>
    <s v="C004"/>
    <s v="Priya Patel"/>
    <x v="3"/>
    <x v="1"/>
    <x v="8"/>
    <n v="500"/>
    <n v="5"/>
    <n v="0"/>
    <x v="110"/>
    <n v="593.55999999999995"/>
    <d v="2025-12-19T18:29:06"/>
    <x v="5"/>
  </r>
  <r>
    <n v="1500"/>
    <d v="2024-05-29T00:00:00"/>
    <s v="C010"/>
    <s v="Anjali Das"/>
    <x v="1"/>
    <x v="2"/>
    <x v="9"/>
    <n v="12000"/>
    <n v="2"/>
    <n v="0.1"/>
    <x v="96"/>
    <n v="5175.4799999999996"/>
    <d v="2025-12-19T18:29:0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C214ED-8103-4D08-8A3F-A2DD0FCF7AC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14" firstHeaderRow="1" firstDataRow="1" firstDataCol="1"/>
  <pivotFields count="12">
    <pivotField showAll="0"/>
    <pivotField numFmtId="164" showAll="0"/>
    <pivotField showAll="0"/>
    <pivotField showAll="0">
      <items count="13">
        <item x="1"/>
        <item x="11"/>
        <item x="10"/>
        <item x="5"/>
        <item x="2"/>
        <item x="9"/>
        <item x="8"/>
        <item x="4"/>
        <item x="0"/>
        <item x="7"/>
        <item x="6"/>
        <item x="3"/>
        <item t="default"/>
      </items>
    </pivotField>
    <pivotField showAll="0">
      <items count="5">
        <item x="3"/>
        <item x="2"/>
        <item x="1"/>
        <item x="0"/>
        <item t="default"/>
      </items>
    </pivotField>
    <pivotField showAll="0">
      <items count="4">
        <item x="0"/>
        <item x="2"/>
        <item x="1"/>
        <item t="default"/>
      </items>
    </pivotField>
    <pivotField axis="axisRow" showAll="0">
      <items count="11">
        <item x="3"/>
        <item x="5"/>
        <item x="0"/>
        <item x="4"/>
        <item x="8"/>
        <item x="6"/>
        <item x="1"/>
        <item x="2"/>
        <item x="9"/>
        <item x="7"/>
        <item t="default"/>
      </items>
    </pivotField>
    <pivotField showAll="0"/>
    <pivotField showAll="0">
      <items count="6">
        <item x="0"/>
        <item x="2"/>
        <item x="3"/>
        <item x="4"/>
        <item x="1"/>
        <item t="default"/>
      </items>
    </pivotField>
    <pivotField showAll="0">
      <items count="5">
        <item x="1"/>
        <item x="2"/>
        <item x="0"/>
        <item x="3"/>
        <item t="default"/>
      </items>
    </pivotField>
    <pivotField dataField="1" showAll="0">
      <items count="164">
        <item x="97"/>
        <item x="55"/>
        <item x="4"/>
        <item x="13"/>
        <item x="93"/>
        <item x="161"/>
        <item x="131"/>
        <item x="10"/>
        <item x="28"/>
        <item x="22"/>
        <item x="88"/>
        <item x="19"/>
        <item x="94"/>
        <item x="60"/>
        <item x="154"/>
        <item x="12"/>
        <item x="139"/>
        <item x="116"/>
        <item x="47"/>
        <item x="25"/>
        <item x="140"/>
        <item x="104"/>
        <item x="162"/>
        <item x="85"/>
        <item x="21"/>
        <item x="64"/>
        <item x="38"/>
        <item x="2"/>
        <item x="79"/>
        <item x="143"/>
        <item x="145"/>
        <item x="1"/>
        <item x="23"/>
        <item x="67"/>
        <item x="15"/>
        <item x="108"/>
        <item x="141"/>
        <item x="86"/>
        <item x="106"/>
        <item x="151"/>
        <item x="33"/>
        <item x="76"/>
        <item x="103"/>
        <item x="9"/>
        <item x="27"/>
        <item x="135"/>
        <item x="52"/>
        <item x="17"/>
        <item x="82"/>
        <item x="150"/>
        <item x="37"/>
        <item x="110"/>
        <item x="159"/>
        <item x="0"/>
        <item x="114"/>
        <item x="43"/>
        <item x="111"/>
        <item x="78"/>
        <item x="5"/>
        <item x="36"/>
        <item x="95"/>
        <item x="50"/>
        <item x="75"/>
        <item x="68"/>
        <item x="41"/>
        <item x="87"/>
        <item x="72"/>
        <item x="112"/>
        <item x="74"/>
        <item x="119"/>
        <item x="44"/>
        <item x="42"/>
        <item x="18"/>
        <item x="45"/>
        <item x="69"/>
        <item x="70"/>
        <item x="16"/>
        <item x="160"/>
        <item x="51"/>
        <item x="26"/>
        <item x="100"/>
        <item x="6"/>
        <item x="126"/>
        <item x="148"/>
        <item x="102"/>
        <item x="71"/>
        <item x="56"/>
        <item x="122"/>
        <item x="14"/>
        <item x="96"/>
        <item x="34"/>
        <item x="129"/>
        <item x="80"/>
        <item x="118"/>
        <item x="61"/>
        <item x="29"/>
        <item x="133"/>
        <item x="115"/>
        <item x="90"/>
        <item x="66"/>
        <item x="77"/>
        <item x="58"/>
        <item x="136"/>
        <item x="146"/>
        <item x="30"/>
        <item x="130"/>
        <item x="39"/>
        <item x="144"/>
        <item x="63"/>
        <item x="127"/>
        <item x="7"/>
        <item x="147"/>
        <item x="128"/>
        <item x="113"/>
        <item x="11"/>
        <item x="57"/>
        <item x="24"/>
        <item x="158"/>
        <item x="99"/>
        <item x="109"/>
        <item x="31"/>
        <item x="73"/>
        <item x="98"/>
        <item x="91"/>
        <item x="65"/>
        <item x="59"/>
        <item x="121"/>
        <item x="35"/>
        <item x="123"/>
        <item x="89"/>
        <item x="81"/>
        <item x="157"/>
        <item x="83"/>
        <item x="153"/>
        <item x="62"/>
        <item x="105"/>
        <item x="32"/>
        <item x="107"/>
        <item x="40"/>
        <item x="46"/>
        <item x="101"/>
        <item x="92"/>
        <item x="138"/>
        <item x="156"/>
        <item x="142"/>
        <item x="120"/>
        <item x="125"/>
        <item x="137"/>
        <item x="8"/>
        <item x="117"/>
        <item x="20"/>
        <item x="3"/>
        <item x="48"/>
        <item x="152"/>
        <item x="132"/>
        <item x="84"/>
        <item x="54"/>
        <item x="155"/>
        <item x="124"/>
        <item x="149"/>
        <item x="134"/>
        <item x="49"/>
        <item x="53"/>
        <item t="default"/>
      </items>
    </pivotField>
    <pivotField showAll="0">
      <items count="501">
        <item x="152"/>
        <item x="75"/>
        <item x="335"/>
        <item x="382"/>
        <item x="4"/>
        <item x="13"/>
        <item x="10"/>
        <item x="73"/>
        <item x="187"/>
        <item x="445"/>
        <item x="147"/>
        <item x="483"/>
        <item x="144"/>
        <item x="482"/>
        <item x="370"/>
        <item x="23"/>
        <item x="272"/>
        <item x="212"/>
        <item x="32"/>
        <item x="25"/>
        <item x="267"/>
        <item x="129"/>
        <item x="477"/>
        <item x="161"/>
        <item x="313"/>
        <item x="20"/>
        <item x="223"/>
        <item x="300"/>
        <item x="391"/>
        <item x="178"/>
        <item x="381"/>
        <item x="135"/>
        <item x="12"/>
        <item x="156"/>
        <item x="341"/>
        <item x="120"/>
        <item x="33"/>
        <item x="60"/>
        <item x="121"/>
        <item x="311"/>
        <item x="287"/>
        <item x="145"/>
        <item x="384"/>
        <item x="82"/>
        <item x="290"/>
        <item x="184"/>
        <item x="155"/>
        <item x="203"/>
        <item x="64"/>
        <item x="263"/>
        <item x="312"/>
        <item x="2"/>
        <item x="297"/>
        <item x="493"/>
        <item x="383"/>
        <item x="471"/>
        <item x="107"/>
        <item x="310"/>
        <item x="288"/>
        <item x="77"/>
        <item x="117"/>
        <item x="251"/>
        <item x="393"/>
        <item x="62"/>
        <item x="15"/>
        <item x="306"/>
        <item x="48"/>
        <item x="434"/>
        <item x="29"/>
        <item x="461"/>
        <item x="215"/>
        <item x="472"/>
        <item x="491"/>
        <item x="325"/>
        <item x="418"/>
        <item x="285"/>
        <item x="256"/>
        <item x="128"/>
        <item x="179"/>
        <item x="328"/>
        <item x="1"/>
        <item x="330"/>
        <item x="22"/>
        <item x="480"/>
        <item x="337"/>
        <item x="232"/>
        <item x="112"/>
        <item x="24"/>
        <item x="292"/>
        <item x="34"/>
        <item x="88"/>
        <item x="86"/>
        <item x="188"/>
        <item x="182"/>
        <item x="442"/>
        <item x="207"/>
        <item x="185"/>
        <item x="227"/>
        <item x="90"/>
        <item x="113"/>
        <item x="372"/>
        <item x="205"/>
        <item x="423"/>
        <item x="213"/>
        <item x="177"/>
        <item x="303"/>
        <item x="199"/>
        <item x="352"/>
        <item x="367"/>
        <item x="468"/>
        <item x="250"/>
        <item x="283"/>
        <item x="463"/>
        <item x="293"/>
        <item x="131"/>
        <item x="302"/>
        <item x="110"/>
        <item x="426"/>
        <item x="35"/>
        <item x="377"/>
        <item x="183"/>
        <item x="447"/>
        <item x="165"/>
        <item x="424"/>
        <item x="282"/>
        <item x="95"/>
        <item x="324"/>
        <item x="234"/>
        <item x="244"/>
        <item x="389"/>
        <item x="160"/>
        <item x="365"/>
        <item x="260"/>
        <item x="309"/>
        <item x="68"/>
        <item x="18"/>
        <item x="42"/>
        <item x="435"/>
        <item x="31"/>
        <item x="9"/>
        <item x="123"/>
        <item x="276"/>
        <item x="194"/>
        <item x="404"/>
        <item x="498"/>
        <item x="157"/>
        <item x="241"/>
        <item x="420"/>
        <item x="0"/>
        <item x="291"/>
        <item x="440"/>
        <item x="109"/>
        <item x="427"/>
        <item x="54"/>
        <item x="432"/>
        <item x="197"/>
        <item x="46"/>
        <item x="206"/>
        <item x="344"/>
        <item x="473"/>
        <item x="398"/>
        <item x="116"/>
        <item x="492"/>
        <item x="317"/>
        <item x="332"/>
        <item x="277"/>
        <item x="496"/>
        <item x="364"/>
        <item x="146"/>
        <item x="106"/>
        <item x="349"/>
        <item x="189"/>
        <item x="45"/>
        <item x="200"/>
        <item x="369"/>
        <item x="191"/>
        <item x="360"/>
        <item x="338"/>
        <item x="403"/>
        <item x="66"/>
        <item x="336"/>
        <item x="413"/>
        <item x="431"/>
        <item x="5"/>
        <item x="322"/>
        <item x="55"/>
        <item x="321"/>
        <item x="81"/>
        <item x="425"/>
        <item x="444"/>
        <item x="69"/>
        <item x="379"/>
        <item x="333"/>
        <item x="169"/>
        <item x="130"/>
        <item x="380"/>
        <item x="497"/>
        <item x="214"/>
        <item x="487"/>
        <item x="375"/>
        <item x="96"/>
        <item x="358"/>
        <item x="221"/>
        <item x="348"/>
        <item x="407"/>
        <item x="202"/>
        <item x="108"/>
        <item x="416"/>
        <item x="488"/>
        <item x="329"/>
        <item x="133"/>
        <item x="105"/>
        <item x="296"/>
        <item x="412"/>
        <item x="224"/>
        <item x="270"/>
        <item x="97"/>
        <item x="346"/>
        <item x="359"/>
        <item x="353"/>
        <item x="101"/>
        <item x="193"/>
        <item x="132"/>
        <item x="443"/>
        <item x="196"/>
        <item x="52"/>
        <item x="49"/>
        <item x="485"/>
        <item x="159"/>
        <item x="230"/>
        <item x="481"/>
        <item x="318"/>
        <item x="258"/>
        <item x="222"/>
        <item x="30"/>
        <item x="351"/>
        <item x="453"/>
        <item x="475"/>
        <item x="181"/>
        <item x="239"/>
        <item x="386"/>
        <item x="172"/>
        <item x="72"/>
        <item x="266"/>
        <item x="433"/>
        <item x="190"/>
        <item x="220"/>
        <item x="253"/>
        <item x="419"/>
        <item x="448"/>
        <item x="340"/>
        <item x="446"/>
        <item x="307"/>
        <item x="53"/>
        <item x="100"/>
        <item x="168"/>
        <item x="124"/>
        <item x="342"/>
        <item x="229"/>
        <item x="490"/>
        <item x="16"/>
        <item x="242"/>
        <item x="219"/>
        <item x="127"/>
        <item x="417"/>
        <item x="171"/>
        <item x="465"/>
        <item x="271"/>
        <item x="91"/>
        <item x="275"/>
        <item x="460"/>
        <item x="150"/>
        <item x="19"/>
        <item x="368"/>
        <item x="56"/>
        <item x="394"/>
        <item x="67"/>
        <item x="195"/>
        <item x="162"/>
        <item x="99"/>
        <item x="89"/>
        <item x="43"/>
        <item x="198"/>
        <item x="499"/>
        <item x="347"/>
        <item x="83"/>
        <item x="175"/>
        <item x="278"/>
        <item x="269"/>
        <item x="238"/>
        <item x="134"/>
        <item x="103"/>
        <item x="354"/>
        <item x="138"/>
        <item x="176"/>
        <item x="166"/>
        <item x="486"/>
        <item x="173"/>
        <item x="141"/>
        <item x="316"/>
        <item x="6"/>
        <item x="255"/>
        <item x="218"/>
        <item x="98"/>
        <item x="93"/>
        <item x="257"/>
        <item x="395"/>
        <item x="74"/>
        <item x="373"/>
        <item x="47"/>
        <item x="470"/>
        <item x="14"/>
        <item x="163"/>
        <item x="281"/>
        <item x="139"/>
        <item x="228"/>
        <item x="57"/>
        <item x="295"/>
        <item x="264"/>
        <item x="118"/>
        <item x="334"/>
        <item x="58"/>
        <item x="429"/>
        <item x="102"/>
        <item x="301"/>
        <item x="36"/>
        <item x="225"/>
        <item x="148"/>
        <item x="385"/>
        <item x="439"/>
        <item x="469"/>
        <item x="76"/>
        <item x="79"/>
        <item x="119"/>
        <item x="273"/>
        <item x="467"/>
        <item x="28"/>
        <item x="345"/>
        <item x="390"/>
        <item x="245"/>
        <item x="376"/>
        <item x="94"/>
        <item x="158"/>
        <item x="142"/>
        <item x="114"/>
        <item x="298"/>
        <item x="279"/>
        <item x="26"/>
        <item x="236"/>
        <item x="326"/>
        <item x="371"/>
        <item x="122"/>
        <item x="243"/>
        <item x="259"/>
        <item x="459"/>
        <item x="137"/>
        <item x="38"/>
        <item x="378"/>
        <item x="495"/>
        <item x="208"/>
        <item x="457"/>
        <item x="265"/>
        <item x="167"/>
        <item x="314"/>
        <item x="343"/>
        <item x="85"/>
        <item x="201"/>
        <item x="216"/>
        <item x="11"/>
        <item x="458"/>
        <item x="164"/>
        <item x="37"/>
        <item x="154"/>
        <item x="478"/>
        <item x="280"/>
        <item x="61"/>
        <item x="397"/>
        <item x="331"/>
        <item x="204"/>
        <item x="262"/>
        <item x="437"/>
        <item x="388"/>
        <item x="41"/>
        <item x="455"/>
        <item x="210"/>
        <item x="449"/>
        <item x="450"/>
        <item x="192"/>
        <item x="327"/>
        <item x="78"/>
        <item x="362"/>
        <item x="50"/>
        <item x="209"/>
        <item x="174"/>
        <item x="44"/>
        <item x="87"/>
        <item x="350"/>
        <item x="409"/>
        <item x="456"/>
        <item x="40"/>
        <item x="489"/>
        <item x="304"/>
        <item x="254"/>
        <item x="240"/>
        <item x="7"/>
        <item x="406"/>
        <item x="125"/>
        <item x="441"/>
        <item x="421"/>
        <item x="136"/>
        <item x="430"/>
        <item x="479"/>
        <item x="319"/>
        <item x="422"/>
        <item x="84"/>
        <item x="231"/>
        <item x="237"/>
        <item x="261"/>
        <item x="289"/>
        <item x="186"/>
        <item x="235"/>
        <item x="323"/>
        <item x="80"/>
        <item x="252"/>
        <item x="436"/>
        <item x="143"/>
        <item x="452"/>
        <item x="246"/>
        <item x="249"/>
        <item x="361"/>
        <item x="308"/>
        <item x="226"/>
        <item x="401"/>
        <item x="305"/>
        <item x="247"/>
        <item x="400"/>
        <item x="415"/>
        <item x="180"/>
        <item x="476"/>
        <item x="115"/>
        <item x="387"/>
        <item x="411"/>
        <item x="451"/>
        <item x="355"/>
        <item x="151"/>
        <item x="211"/>
        <item x="414"/>
        <item x="27"/>
        <item x="339"/>
        <item x="366"/>
        <item x="59"/>
        <item x="92"/>
        <item x="466"/>
        <item x="111"/>
        <item x="104"/>
        <item x="153"/>
        <item x="233"/>
        <item x="17"/>
        <item x="408"/>
        <item x="320"/>
        <item x="51"/>
        <item x="170"/>
        <item x="396"/>
        <item x="8"/>
        <item x="474"/>
        <item x="402"/>
        <item x="284"/>
        <item x="454"/>
        <item x="399"/>
        <item x="462"/>
        <item x="3"/>
        <item x="294"/>
        <item x="494"/>
        <item x="315"/>
        <item x="428"/>
        <item x="438"/>
        <item x="464"/>
        <item x="21"/>
        <item x="39"/>
        <item x="217"/>
        <item x="126"/>
        <item x="274"/>
        <item x="357"/>
        <item x="63"/>
        <item x="356"/>
        <item x="248"/>
        <item x="484"/>
        <item x="374"/>
        <item x="405"/>
        <item x="268"/>
        <item x="149"/>
        <item x="140"/>
        <item x="392"/>
        <item x="286"/>
        <item x="299"/>
        <item x="410"/>
        <item x="71"/>
        <item x="65"/>
        <item x="363"/>
        <item x="70"/>
        <item t="default"/>
      </items>
    </pivotField>
  </pivotFields>
  <rowFields count="1">
    <field x="6"/>
  </rowFields>
  <rowItems count="11">
    <i>
      <x/>
    </i>
    <i>
      <x v="1"/>
    </i>
    <i>
      <x v="2"/>
    </i>
    <i>
      <x v="3"/>
    </i>
    <i>
      <x v="4"/>
    </i>
    <i>
      <x v="5"/>
    </i>
    <i>
      <x v="6"/>
    </i>
    <i>
      <x v="7"/>
    </i>
    <i>
      <x v="8"/>
    </i>
    <i>
      <x v="9"/>
    </i>
    <i t="grand">
      <x/>
    </i>
  </rowItems>
  <colItems count="1">
    <i/>
  </colItems>
  <dataFields count="1">
    <dataField name="Sum of Sales_Amount" fld="10" baseField="6" baseItem="0"/>
  </dataFields>
  <formats count="1">
    <format dxfId="3">
      <pivotArea grandRow="1" outline="0" collapsedLevelsAreSubtotals="1" fieldPosition="0"/>
    </format>
  </formats>
  <chartFormats count="3">
    <chartFormat chart="16"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A6B86D-C0AB-4BC5-84E6-87E3D8CFBBC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2">
    <pivotField showAll="0"/>
    <pivotField numFmtId="164" showAll="0"/>
    <pivotField showAll="0"/>
    <pivotField axis="axisRow" showAll="0" measureFilter="1">
      <items count="13">
        <item x="1"/>
        <item x="11"/>
        <item x="10"/>
        <item x="5"/>
        <item x="2"/>
        <item x="9"/>
        <item x="8"/>
        <item x="4"/>
        <item x="0"/>
        <item x="7"/>
        <item x="6"/>
        <item x="3"/>
        <item t="default"/>
      </items>
    </pivotField>
    <pivotField showAll="0">
      <items count="5">
        <item x="3"/>
        <item x="2"/>
        <item x="1"/>
        <item x="0"/>
        <item t="default"/>
      </items>
    </pivotField>
    <pivotField showAll="0">
      <items count="4">
        <item x="0"/>
        <item x="2"/>
        <item x="1"/>
        <item t="default"/>
      </items>
    </pivotField>
    <pivotField showAll="0">
      <items count="11">
        <item x="3"/>
        <item x="5"/>
        <item x="0"/>
        <item x="4"/>
        <item x="8"/>
        <item x="6"/>
        <item x="1"/>
        <item x="2"/>
        <item x="9"/>
        <item x="7"/>
        <item t="default"/>
      </items>
    </pivotField>
    <pivotField showAll="0"/>
    <pivotField showAll="0">
      <items count="6">
        <item x="0"/>
        <item x="2"/>
        <item x="3"/>
        <item x="4"/>
        <item x="1"/>
        <item t="default"/>
      </items>
    </pivotField>
    <pivotField showAll="0">
      <items count="5">
        <item x="1"/>
        <item x="2"/>
        <item x="0"/>
        <item x="3"/>
        <item t="default"/>
      </items>
    </pivotField>
    <pivotField dataField="1" showAll="0"/>
    <pivotField showAll="0">
      <items count="501">
        <item x="152"/>
        <item x="75"/>
        <item x="335"/>
        <item x="382"/>
        <item x="4"/>
        <item x="13"/>
        <item x="10"/>
        <item x="73"/>
        <item x="187"/>
        <item x="445"/>
        <item x="147"/>
        <item x="483"/>
        <item x="144"/>
        <item x="482"/>
        <item x="370"/>
        <item x="23"/>
        <item x="272"/>
        <item x="212"/>
        <item x="32"/>
        <item x="25"/>
        <item x="267"/>
        <item x="129"/>
        <item x="477"/>
        <item x="161"/>
        <item x="313"/>
        <item x="20"/>
        <item x="223"/>
        <item x="300"/>
        <item x="391"/>
        <item x="178"/>
        <item x="381"/>
        <item x="135"/>
        <item x="12"/>
        <item x="156"/>
        <item x="341"/>
        <item x="120"/>
        <item x="33"/>
        <item x="60"/>
        <item x="121"/>
        <item x="311"/>
        <item x="287"/>
        <item x="145"/>
        <item x="384"/>
        <item x="82"/>
        <item x="290"/>
        <item x="184"/>
        <item x="155"/>
        <item x="203"/>
        <item x="64"/>
        <item x="263"/>
        <item x="312"/>
        <item x="2"/>
        <item x="297"/>
        <item x="493"/>
        <item x="383"/>
        <item x="471"/>
        <item x="107"/>
        <item x="310"/>
        <item x="288"/>
        <item x="77"/>
        <item x="117"/>
        <item x="251"/>
        <item x="393"/>
        <item x="62"/>
        <item x="15"/>
        <item x="306"/>
        <item x="48"/>
        <item x="434"/>
        <item x="29"/>
        <item x="461"/>
        <item x="215"/>
        <item x="472"/>
        <item x="491"/>
        <item x="325"/>
        <item x="418"/>
        <item x="285"/>
        <item x="256"/>
        <item x="128"/>
        <item x="179"/>
        <item x="328"/>
        <item x="1"/>
        <item x="330"/>
        <item x="22"/>
        <item x="480"/>
        <item x="337"/>
        <item x="232"/>
        <item x="112"/>
        <item x="24"/>
        <item x="292"/>
        <item x="34"/>
        <item x="88"/>
        <item x="86"/>
        <item x="188"/>
        <item x="182"/>
        <item x="442"/>
        <item x="207"/>
        <item x="185"/>
        <item x="227"/>
        <item x="90"/>
        <item x="113"/>
        <item x="372"/>
        <item x="205"/>
        <item x="423"/>
        <item x="213"/>
        <item x="177"/>
        <item x="303"/>
        <item x="199"/>
        <item x="352"/>
        <item x="367"/>
        <item x="468"/>
        <item x="250"/>
        <item x="283"/>
        <item x="463"/>
        <item x="293"/>
        <item x="131"/>
        <item x="302"/>
        <item x="110"/>
        <item x="426"/>
        <item x="35"/>
        <item x="377"/>
        <item x="183"/>
        <item x="447"/>
        <item x="165"/>
        <item x="424"/>
        <item x="282"/>
        <item x="95"/>
        <item x="324"/>
        <item x="234"/>
        <item x="244"/>
        <item x="389"/>
        <item x="160"/>
        <item x="365"/>
        <item x="260"/>
        <item x="309"/>
        <item x="68"/>
        <item x="18"/>
        <item x="42"/>
        <item x="435"/>
        <item x="31"/>
        <item x="9"/>
        <item x="123"/>
        <item x="276"/>
        <item x="194"/>
        <item x="404"/>
        <item x="498"/>
        <item x="157"/>
        <item x="241"/>
        <item x="420"/>
        <item x="0"/>
        <item x="291"/>
        <item x="440"/>
        <item x="109"/>
        <item x="427"/>
        <item x="54"/>
        <item x="432"/>
        <item x="197"/>
        <item x="46"/>
        <item x="206"/>
        <item x="344"/>
        <item x="473"/>
        <item x="398"/>
        <item x="116"/>
        <item x="492"/>
        <item x="317"/>
        <item x="332"/>
        <item x="277"/>
        <item x="496"/>
        <item x="364"/>
        <item x="146"/>
        <item x="106"/>
        <item x="349"/>
        <item x="189"/>
        <item x="45"/>
        <item x="200"/>
        <item x="369"/>
        <item x="191"/>
        <item x="360"/>
        <item x="338"/>
        <item x="403"/>
        <item x="66"/>
        <item x="336"/>
        <item x="413"/>
        <item x="431"/>
        <item x="5"/>
        <item x="322"/>
        <item x="55"/>
        <item x="321"/>
        <item x="81"/>
        <item x="425"/>
        <item x="444"/>
        <item x="69"/>
        <item x="379"/>
        <item x="333"/>
        <item x="169"/>
        <item x="130"/>
        <item x="380"/>
        <item x="497"/>
        <item x="214"/>
        <item x="487"/>
        <item x="375"/>
        <item x="96"/>
        <item x="358"/>
        <item x="221"/>
        <item x="348"/>
        <item x="407"/>
        <item x="202"/>
        <item x="108"/>
        <item x="416"/>
        <item x="488"/>
        <item x="329"/>
        <item x="133"/>
        <item x="105"/>
        <item x="296"/>
        <item x="412"/>
        <item x="224"/>
        <item x="270"/>
        <item x="97"/>
        <item x="346"/>
        <item x="359"/>
        <item x="353"/>
        <item x="101"/>
        <item x="193"/>
        <item x="132"/>
        <item x="443"/>
        <item x="196"/>
        <item x="52"/>
        <item x="49"/>
        <item x="485"/>
        <item x="159"/>
        <item x="230"/>
        <item x="481"/>
        <item x="318"/>
        <item x="258"/>
        <item x="222"/>
        <item x="30"/>
        <item x="351"/>
        <item x="453"/>
        <item x="475"/>
        <item x="181"/>
        <item x="239"/>
        <item x="386"/>
        <item x="172"/>
        <item x="72"/>
        <item x="266"/>
        <item x="433"/>
        <item x="190"/>
        <item x="220"/>
        <item x="253"/>
        <item x="419"/>
        <item x="448"/>
        <item x="340"/>
        <item x="446"/>
        <item x="307"/>
        <item x="53"/>
        <item x="100"/>
        <item x="168"/>
        <item x="124"/>
        <item x="342"/>
        <item x="229"/>
        <item x="490"/>
        <item x="16"/>
        <item x="242"/>
        <item x="219"/>
        <item x="127"/>
        <item x="417"/>
        <item x="171"/>
        <item x="465"/>
        <item x="271"/>
        <item x="91"/>
        <item x="275"/>
        <item x="460"/>
        <item x="150"/>
        <item x="19"/>
        <item x="368"/>
        <item x="56"/>
        <item x="394"/>
        <item x="67"/>
        <item x="195"/>
        <item x="162"/>
        <item x="99"/>
        <item x="89"/>
        <item x="43"/>
        <item x="198"/>
        <item x="499"/>
        <item x="347"/>
        <item x="83"/>
        <item x="175"/>
        <item x="278"/>
        <item x="269"/>
        <item x="238"/>
        <item x="134"/>
        <item x="103"/>
        <item x="354"/>
        <item x="138"/>
        <item x="176"/>
        <item x="166"/>
        <item x="486"/>
        <item x="173"/>
        <item x="141"/>
        <item x="316"/>
        <item x="6"/>
        <item x="255"/>
        <item x="218"/>
        <item x="98"/>
        <item x="93"/>
        <item x="257"/>
        <item x="395"/>
        <item x="74"/>
        <item x="373"/>
        <item x="47"/>
        <item x="470"/>
        <item x="14"/>
        <item x="163"/>
        <item x="281"/>
        <item x="139"/>
        <item x="228"/>
        <item x="57"/>
        <item x="295"/>
        <item x="264"/>
        <item x="118"/>
        <item x="334"/>
        <item x="58"/>
        <item x="429"/>
        <item x="102"/>
        <item x="301"/>
        <item x="36"/>
        <item x="225"/>
        <item x="148"/>
        <item x="385"/>
        <item x="439"/>
        <item x="469"/>
        <item x="76"/>
        <item x="79"/>
        <item x="119"/>
        <item x="273"/>
        <item x="467"/>
        <item x="28"/>
        <item x="345"/>
        <item x="390"/>
        <item x="245"/>
        <item x="376"/>
        <item x="94"/>
        <item x="158"/>
        <item x="142"/>
        <item x="114"/>
        <item x="298"/>
        <item x="279"/>
        <item x="26"/>
        <item x="236"/>
        <item x="326"/>
        <item x="371"/>
        <item x="122"/>
        <item x="243"/>
        <item x="259"/>
        <item x="459"/>
        <item x="137"/>
        <item x="38"/>
        <item x="378"/>
        <item x="495"/>
        <item x="208"/>
        <item x="457"/>
        <item x="265"/>
        <item x="167"/>
        <item x="314"/>
        <item x="343"/>
        <item x="85"/>
        <item x="201"/>
        <item x="216"/>
        <item x="11"/>
        <item x="458"/>
        <item x="164"/>
        <item x="37"/>
        <item x="154"/>
        <item x="478"/>
        <item x="280"/>
        <item x="61"/>
        <item x="397"/>
        <item x="331"/>
        <item x="204"/>
        <item x="262"/>
        <item x="437"/>
        <item x="388"/>
        <item x="41"/>
        <item x="455"/>
        <item x="210"/>
        <item x="449"/>
        <item x="450"/>
        <item x="192"/>
        <item x="327"/>
        <item x="78"/>
        <item x="362"/>
        <item x="50"/>
        <item x="209"/>
        <item x="174"/>
        <item x="44"/>
        <item x="87"/>
        <item x="350"/>
        <item x="409"/>
        <item x="456"/>
        <item x="40"/>
        <item x="489"/>
        <item x="304"/>
        <item x="254"/>
        <item x="240"/>
        <item x="7"/>
        <item x="406"/>
        <item x="125"/>
        <item x="441"/>
        <item x="421"/>
        <item x="136"/>
        <item x="430"/>
        <item x="479"/>
        <item x="319"/>
        <item x="422"/>
        <item x="84"/>
        <item x="231"/>
        <item x="237"/>
        <item x="261"/>
        <item x="289"/>
        <item x="186"/>
        <item x="235"/>
        <item x="323"/>
        <item x="80"/>
        <item x="252"/>
        <item x="436"/>
        <item x="143"/>
        <item x="452"/>
        <item x="246"/>
        <item x="249"/>
        <item x="361"/>
        <item x="308"/>
        <item x="226"/>
        <item x="401"/>
        <item x="305"/>
        <item x="247"/>
        <item x="400"/>
        <item x="415"/>
        <item x="180"/>
        <item x="476"/>
        <item x="115"/>
        <item x="387"/>
        <item x="411"/>
        <item x="451"/>
        <item x="355"/>
        <item x="151"/>
        <item x="211"/>
        <item x="414"/>
        <item x="27"/>
        <item x="339"/>
        <item x="366"/>
        <item x="59"/>
        <item x="92"/>
        <item x="466"/>
        <item x="111"/>
        <item x="104"/>
        <item x="153"/>
        <item x="233"/>
        <item x="17"/>
        <item x="408"/>
        <item x="320"/>
        <item x="51"/>
        <item x="170"/>
        <item x="396"/>
        <item x="8"/>
        <item x="474"/>
        <item x="402"/>
        <item x="284"/>
        <item x="454"/>
        <item x="399"/>
        <item x="462"/>
        <item x="3"/>
        <item x="294"/>
        <item x="494"/>
        <item x="315"/>
        <item x="428"/>
        <item x="438"/>
        <item x="464"/>
        <item x="21"/>
        <item x="39"/>
        <item x="217"/>
        <item x="126"/>
        <item x="274"/>
        <item x="357"/>
        <item x="63"/>
        <item x="356"/>
        <item x="248"/>
        <item x="484"/>
        <item x="374"/>
        <item x="405"/>
        <item x="268"/>
        <item x="149"/>
        <item x="140"/>
        <item x="392"/>
        <item x="286"/>
        <item x="299"/>
        <item x="410"/>
        <item x="71"/>
        <item x="65"/>
        <item x="363"/>
        <item x="70"/>
        <item t="default"/>
      </items>
    </pivotField>
  </pivotFields>
  <rowFields count="1">
    <field x="3"/>
  </rowFields>
  <rowItems count="6">
    <i>
      <x v="1"/>
    </i>
    <i>
      <x v="2"/>
    </i>
    <i>
      <x v="4"/>
    </i>
    <i>
      <x v="10"/>
    </i>
    <i>
      <x v="11"/>
    </i>
    <i t="grand">
      <x/>
    </i>
  </rowItems>
  <colItems count="1">
    <i/>
  </colItems>
  <dataFields count="1">
    <dataField name="Sum of Sales_Amount" fld="10" baseField="0" baseItem="0"/>
  </dataFields>
  <formats count="1">
    <format dxfId="2">
      <pivotArea grandRow="1" outline="0" collapsedLevelsAreSubtotals="1" fieldPosition="0"/>
    </format>
  </formats>
  <chartFormats count="14">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3" count="1" selected="0">
            <x v="1"/>
          </reference>
        </references>
      </pivotArea>
    </chartFormat>
    <chartFormat chart="9" format="3">
      <pivotArea type="data" outline="0" fieldPosition="0">
        <references count="2">
          <reference field="4294967294" count="1" selected="0">
            <x v="0"/>
          </reference>
          <reference field="3" count="1" selected="0">
            <x v="2"/>
          </reference>
        </references>
      </pivotArea>
    </chartFormat>
    <chartFormat chart="9" format="4">
      <pivotArea type="data" outline="0" fieldPosition="0">
        <references count="2">
          <reference field="4294967294" count="1" selected="0">
            <x v="0"/>
          </reference>
          <reference field="3" count="1" selected="0">
            <x v="4"/>
          </reference>
        </references>
      </pivotArea>
    </chartFormat>
    <chartFormat chart="9" format="5">
      <pivotArea type="data" outline="0" fieldPosition="0">
        <references count="2">
          <reference field="4294967294" count="1" selected="0">
            <x v="0"/>
          </reference>
          <reference field="3" count="1" selected="0">
            <x v="10"/>
          </reference>
        </references>
      </pivotArea>
    </chartFormat>
    <chartFormat chart="9" format="6">
      <pivotArea type="data" outline="0" fieldPosition="0">
        <references count="2">
          <reference field="4294967294" count="1" selected="0">
            <x v="0"/>
          </reference>
          <reference field="3" count="1" selected="0">
            <x v="11"/>
          </reference>
        </references>
      </pivotArea>
    </chartFormat>
    <chartFormat chart="13" format="2"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1"/>
          </reference>
        </references>
      </pivotArea>
    </chartFormat>
    <chartFormat chart="7" format="2">
      <pivotArea type="data" outline="0" fieldPosition="0">
        <references count="2">
          <reference field="4294967294" count="1" selected="0">
            <x v="0"/>
          </reference>
          <reference field="3" count="1" selected="0">
            <x v="2"/>
          </reference>
        </references>
      </pivotArea>
    </chartFormat>
    <chartFormat chart="7" format="3">
      <pivotArea type="data" outline="0" fieldPosition="0">
        <references count="2">
          <reference field="4294967294" count="1" selected="0">
            <x v="0"/>
          </reference>
          <reference field="3" count="1" selected="0">
            <x v="4"/>
          </reference>
        </references>
      </pivotArea>
    </chartFormat>
    <chartFormat chart="7" format="4">
      <pivotArea type="data" outline="0" fieldPosition="0">
        <references count="2">
          <reference field="4294967294" count="1" selected="0">
            <x v="0"/>
          </reference>
          <reference field="3" count="1" selected="0">
            <x v="10"/>
          </reference>
        </references>
      </pivotArea>
    </chartFormat>
    <chartFormat chart="7" format="5">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E5FB8C-EF66-4685-B432-9A78F91E24D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2">
    <pivotField showAll="0"/>
    <pivotField numFmtId="164" showAll="0"/>
    <pivotField showAll="0"/>
    <pivotField showAll="0">
      <items count="13">
        <item x="1"/>
        <item x="11"/>
        <item x="10"/>
        <item x="5"/>
        <item x="2"/>
        <item x="9"/>
        <item x="8"/>
        <item x="4"/>
        <item x="0"/>
        <item x="7"/>
        <item x="6"/>
        <item x="3"/>
        <item t="default"/>
      </items>
    </pivotField>
    <pivotField axis="axisRow" showAll="0">
      <items count="5">
        <item x="3"/>
        <item x="2"/>
        <item x="1"/>
        <item x="0"/>
        <item t="default"/>
      </items>
    </pivotField>
    <pivotField showAll="0">
      <items count="4">
        <item x="0"/>
        <item x="2"/>
        <item x="1"/>
        <item t="default"/>
      </items>
    </pivotField>
    <pivotField showAll="0">
      <items count="11">
        <item x="3"/>
        <item x="5"/>
        <item x="0"/>
        <item x="4"/>
        <item x="8"/>
        <item x="6"/>
        <item x="1"/>
        <item x="2"/>
        <item x="9"/>
        <item x="7"/>
        <item t="default"/>
      </items>
    </pivotField>
    <pivotField showAll="0"/>
    <pivotField showAll="0">
      <items count="6">
        <item x="0"/>
        <item x="2"/>
        <item x="3"/>
        <item x="4"/>
        <item x="1"/>
        <item t="default"/>
      </items>
    </pivotField>
    <pivotField showAll="0">
      <items count="5">
        <item x="1"/>
        <item x="2"/>
        <item x="0"/>
        <item x="3"/>
        <item t="default"/>
      </items>
    </pivotField>
    <pivotField dataField="1" showAll="0"/>
    <pivotField showAll="0">
      <items count="501">
        <item x="152"/>
        <item x="75"/>
        <item x="335"/>
        <item x="382"/>
        <item x="4"/>
        <item x="13"/>
        <item x="10"/>
        <item x="73"/>
        <item x="187"/>
        <item x="445"/>
        <item x="147"/>
        <item x="483"/>
        <item x="144"/>
        <item x="482"/>
        <item x="370"/>
        <item x="23"/>
        <item x="272"/>
        <item x="212"/>
        <item x="32"/>
        <item x="25"/>
        <item x="267"/>
        <item x="129"/>
        <item x="477"/>
        <item x="161"/>
        <item x="313"/>
        <item x="20"/>
        <item x="223"/>
        <item x="300"/>
        <item x="391"/>
        <item x="178"/>
        <item x="381"/>
        <item x="135"/>
        <item x="12"/>
        <item x="156"/>
        <item x="341"/>
        <item x="120"/>
        <item x="33"/>
        <item x="60"/>
        <item x="121"/>
        <item x="311"/>
        <item x="287"/>
        <item x="145"/>
        <item x="384"/>
        <item x="82"/>
        <item x="290"/>
        <item x="184"/>
        <item x="155"/>
        <item x="203"/>
        <item x="64"/>
        <item x="263"/>
        <item x="312"/>
        <item x="2"/>
        <item x="297"/>
        <item x="493"/>
        <item x="383"/>
        <item x="471"/>
        <item x="107"/>
        <item x="310"/>
        <item x="288"/>
        <item x="77"/>
        <item x="117"/>
        <item x="251"/>
        <item x="393"/>
        <item x="62"/>
        <item x="15"/>
        <item x="306"/>
        <item x="48"/>
        <item x="434"/>
        <item x="29"/>
        <item x="461"/>
        <item x="215"/>
        <item x="472"/>
        <item x="491"/>
        <item x="325"/>
        <item x="418"/>
        <item x="285"/>
        <item x="256"/>
        <item x="128"/>
        <item x="179"/>
        <item x="328"/>
        <item x="1"/>
        <item x="330"/>
        <item x="22"/>
        <item x="480"/>
        <item x="337"/>
        <item x="232"/>
        <item x="112"/>
        <item x="24"/>
        <item x="292"/>
        <item x="34"/>
        <item x="88"/>
        <item x="86"/>
        <item x="188"/>
        <item x="182"/>
        <item x="442"/>
        <item x="207"/>
        <item x="185"/>
        <item x="227"/>
        <item x="90"/>
        <item x="113"/>
        <item x="372"/>
        <item x="205"/>
        <item x="423"/>
        <item x="213"/>
        <item x="177"/>
        <item x="303"/>
        <item x="199"/>
        <item x="352"/>
        <item x="367"/>
        <item x="468"/>
        <item x="250"/>
        <item x="283"/>
        <item x="463"/>
        <item x="293"/>
        <item x="131"/>
        <item x="302"/>
        <item x="110"/>
        <item x="426"/>
        <item x="35"/>
        <item x="377"/>
        <item x="183"/>
        <item x="447"/>
        <item x="165"/>
        <item x="424"/>
        <item x="282"/>
        <item x="95"/>
        <item x="324"/>
        <item x="234"/>
        <item x="244"/>
        <item x="389"/>
        <item x="160"/>
        <item x="365"/>
        <item x="260"/>
        <item x="309"/>
        <item x="68"/>
        <item x="18"/>
        <item x="42"/>
        <item x="435"/>
        <item x="31"/>
        <item x="9"/>
        <item x="123"/>
        <item x="276"/>
        <item x="194"/>
        <item x="404"/>
        <item x="498"/>
        <item x="157"/>
        <item x="241"/>
        <item x="420"/>
        <item x="0"/>
        <item x="291"/>
        <item x="440"/>
        <item x="109"/>
        <item x="427"/>
        <item x="54"/>
        <item x="432"/>
        <item x="197"/>
        <item x="46"/>
        <item x="206"/>
        <item x="344"/>
        <item x="473"/>
        <item x="398"/>
        <item x="116"/>
        <item x="492"/>
        <item x="317"/>
        <item x="332"/>
        <item x="277"/>
        <item x="496"/>
        <item x="364"/>
        <item x="146"/>
        <item x="106"/>
        <item x="349"/>
        <item x="189"/>
        <item x="45"/>
        <item x="200"/>
        <item x="369"/>
        <item x="191"/>
        <item x="360"/>
        <item x="338"/>
        <item x="403"/>
        <item x="66"/>
        <item x="336"/>
        <item x="413"/>
        <item x="431"/>
        <item x="5"/>
        <item x="322"/>
        <item x="55"/>
        <item x="321"/>
        <item x="81"/>
        <item x="425"/>
        <item x="444"/>
        <item x="69"/>
        <item x="379"/>
        <item x="333"/>
        <item x="169"/>
        <item x="130"/>
        <item x="380"/>
        <item x="497"/>
        <item x="214"/>
        <item x="487"/>
        <item x="375"/>
        <item x="96"/>
        <item x="358"/>
        <item x="221"/>
        <item x="348"/>
        <item x="407"/>
        <item x="202"/>
        <item x="108"/>
        <item x="416"/>
        <item x="488"/>
        <item x="329"/>
        <item x="133"/>
        <item x="105"/>
        <item x="296"/>
        <item x="412"/>
        <item x="224"/>
        <item x="270"/>
        <item x="97"/>
        <item x="346"/>
        <item x="359"/>
        <item x="353"/>
        <item x="101"/>
        <item x="193"/>
        <item x="132"/>
        <item x="443"/>
        <item x="196"/>
        <item x="52"/>
        <item x="49"/>
        <item x="485"/>
        <item x="159"/>
        <item x="230"/>
        <item x="481"/>
        <item x="318"/>
        <item x="258"/>
        <item x="222"/>
        <item x="30"/>
        <item x="351"/>
        <item x="453"/>
        <item x="475"/>
        <item x="181"/>
        <item x="239"/>
        <item x="386"/>
        <item x="172"/>
        <item x="72"/>
        <item x="266"/>
        <item x="433"/>
        <item x="190"/>
        <item x="220"/>
        <item x="253"/>
        <item x="419"/>
        <item x="448"/>
        <item x="340"/>
        <item x="446"/>
        <item x="307"/>
        <item x="53"/>
        <item x="100"/>
        <item x="168"/>
        <item x="124"/>
        <item x="342"/>
        <item x="229"/>
        <item x="490"/>
        <item x="16"/>
        <item x="242"/>
        <item x="219"/>
        <item x="127"/>
        <item x="417"/>
        <item x="171"/>
        <item x="465"/>
        <item x="271"/>
        <item x="91"/>
        <item x="275"/>
        <item x="460"/>
        <item x="150"/>
        <item x="19"/>
        <item x="368"/>
        <item x="56"/>
        <item x="394"/>
        <item x="67"/>
        <item x="195"/>
        <item x="162"/>
        <item x="99"/>
        <item x="89"/>
        <item x="43"/>
        <item x="198"/>
        <item x="499"/>
        <item x="347"/>
        <item x="83"/>
        <item x="175"/>
        <item x="278"/>
        <item x="269"/>
        <item x="238"/>
        <item x="134"/>
        <item x="103"/>
        <item x="354"/>
        <item x="138"/>
        <item x="176"/>
        <item x="166"/>
        <item x="486"/>
        <item x="173"/>
        <item x="141"/>
        <item x="316"/>
        <item x="6"/>
        <item x="255"/>
        <item x="218"/>
        <item x="98"/>
        <item x="93"/>
        <item x="257"/>
        <item x="395"/>
        <item x="74"/>
        <item x="373"/>
        <item x="47"/>
        <item x="470"/>
        <item x="14"/>
        <item x="163"/>
        <item x="281"/>
        <item x="139"/>
        <item x="228"/>
        <item x="57"/>
        <item x="295"/>
        <item x="264"/>
        <item x="118"/>
        <item x="334"/>
        <item x="58"/>
        <item x="429"/>
        <item x="102"/>
        <item x="301"/>
        <item x="36"/>
        <item x="225"/>
        <item x="148"/>
        <item x="385"/>
        <item x="439"/>
        <item x="469"/>
        <item x="76"/>
        <item x="79"/>
        <item x="119"/>
        <item x="273"/>
        <item x="467"/>
        <item x="28"/>
        <item x="345"/>
        <item x="390"/>
        <item x="245"/>
        <item x="376"/>
        <item x="94"/>
        <item x="158"/>
        <item x="142"/>
        <item x="114"/>
        <item x="298"/>
        <item x="279"/>
        <item x="26"/>
        <item x="236"/>
        <item x="326"/>
        <item x="371"/>
        <item x="122"/>
        <item x="243"/>
        <item x="259"/>
        <item x="459"/>
        <item x="137"/>
        <item x="38"/>
        <item x="378"/>
        <item x="495"/>
        <item x="208"/>
        <item x="457"/>
        <item x="265"/>
        <item x="167"/>
        <item x="314"/>
        <item x="343"/>
        <item x="85"/>
        <item x="201"/>
        <item x="216"/>
        <item x="11"/>
        <item x="458"/>
        <item x="164"/>
        <item x="37"/>
        <item x="154"/>
        <item x="478"/>
        <item x="280"/>
        <item x="61"/>
        <item x="397"/>
        <item x="331"/>
        <item x="204"/>
        <item x="262"/>
        <item x="437"/>
        <item x="388"/>
        <item x="41"/>
        <item x="455"/>
        <item x="210"/>
        <item x="449"/>
        <item x="450"/>
        <item x="192"/>
        <item x="327"/>
        <item x="78"/>
        <item x="362"/>
        <item x="50"/>
        <item x="209"/>
        <item x="174"/>
        <item x="44"/>
        <item x="87"/>
        <item x="350"/>
        <item x="409"/>
        <item x="456"/>
        <item x="40"/>
        <item x="489"/>
        <item x="304"/>
        <item x="254"/>
        <item x="240"/>
        <item x="7"/>
        <item x="406"/>
        <item x="125"/>
        <item x="441"/>
        <item x="421"/>
        <item x="136"/>
        <item x="430"/>
        <item x="479"/>
        <item x="319"/>
        <item x="422"/>
        <item x="84"/>
        <item x="231"/>
        <item x="237"/>
        <item x="261"/>
        <item x="289"/>
        <item x="186"/>
        <item x="235"/>
        <item x="323"/>
        <item x="80"/>
        <item x="252"/>
        <item x="436"/>
        <item x="143"/>
        <item x="452"/>
        <item x="246"/>
        <item x="249"/>
        <item x="361"/>
        <item x="308"/>
        <item x="226"/>
        <item x="401"/>
        <item x="305"/>
        <item x="247"/>
        <item x="400"/>
        <item x="415"/>
        <item x="180"/>
        <item x="476"/>
        <item x="115"/>
        <item x="387"/>
        <item x="411"/>
        <item x="451"/>
        <item x="355"/>
        <item x="151"/>
        <item x="211"/>
        <item x="414"/>
        <item x="27"/>
        <item x="339"/>
        <item x="366"/>
        <item x="59"/>
        <item x="92"/>
        <item x="466"/>
        <item x="111"/>
        <item x="104"/>
        <item x="153"/>
        <item x="233"/>
        <item x="17"/>
        <item x="408"/>
        <item x="320"/>
        <item x="51"/>
        <item x="170"/>
        <item x="396"/>
        <item x="8"/>
        <item x="474"/>
        <item x="402"/>
        <item x="284"/>
        <item x="454"/>
        <item x="399"/>
        <item x="462"/>
        <item x="3"/>
        <item x="294"/>
        <item x="494"/>
        <item x="315"/>
        <item x="428"/>
        <item x="438"/>
        <item x="464"/>
        <item x="21"/>
        <item x="39"/>
        <item x="217"/>
        <item x="126"/>
        <item x="274"/>
        <item x="357"/>
        <item x="63"/>
        <item x="356"/>
        <item x="248"/>
        <item x="484"/>
        <item x="374"/>
        <item x="405"/>
        <item x="268"/>
        <item x="149"/>
        <item x="140"/>
        <item x="392"/>
        <item x="286"/>
        <item x="299"/>
        <item x="410"/>
        <item x="71"/>
        <item x="65"/>
        <item x="363"/>
        <item x="70"/>
        <item t="default"/>
      </items>
    </pivotField>
  </pivotFields>
  <rowFields count="1">
    <field x="4"/>
  </rowFields>
  <rowItems count="5">
    <i>
      <x/>
    </i>
    <i>
      <x v="1"/>
    </i>
    <i>
      <x v="2"/>
    </i>
    <i>
      <x v="3"/>
    </i>
    <i t="grand">
      <x/>
    </i>
  </rowItems>
  <colItems count="1">
    <i/>
  </colItems>
  <dataFields count="1">
    <dataField name="Sum of Sales_Amount" fld="10" baseField="0" baseItem="0"/>
  </dataFields>
  <chartFormats count="10">
    <chartFormat chart="2"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0"/>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 chart="12" format="9">
      <pivotArea type="data" outline="0" fieldPosition="0">
        <references count="2">
          <reference field="4294967294" count="1" selected="0">
            <x v="0"/>
          </reference>
          <reference field="4" count="1" selected="0">
            <x v="2"/>
          </reference>
        </references>
      </pivotArea>
    </chartFormat>
    <chartFormat chart="12" format="10">
      <pivotArea type="data" outline="0" fieldPosition="0">
        <references count="2">
          <reference field="4294967294" count="1" selected="0">
            <x v="0"/>
          </reference>
          <reference field="4" count="1" selected="0">
            <x v="3"/>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F54CAF-533C-441D-B01B-85C5C0F2475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9" firstHeaderRow="0" firstDataRow="1" firstDataCol="1"/>
  <pivotFields count="12">
    <pivotField showAll="0"/>
    <pivotField numFmtId="164" showAll="0"/>
    <pivotField showAll="0"/>
    <pivotField showAll="0">
      <items count="13">
        <item x="1"/>
        <item x="11"/>
        <item x="10"/>
        <item x="5"/>
        <item x="2"/>
        <item x="9"/>
        <item x="8"/>
        <item x="4"/>
        <item x="0"/>
        <item x="7"/>
        <item x="6"/>
        <item x="3"/>
        <item t="default"/>
      </items>
    </pivotField>
    <pivotField showAll="0">
      <items count="5">
        <item x="3"/>
        <item x="2"/>
        <item x="1"/>
        <item x="0"/>
        <item t="default"/>
      </items>
    </pivotField>
    <pivotField showAll="0">
      <items count="4">
        <item x="0"/>
        <item x="2"/>
        <item x="1"/>
        <item t="default"/>
      </items>
    </pivotField>
    <pivotField axis="axisRow" showAll="0" measureFilter="1">
      <items count="11">
        <item x="3"/>
        <item x="5"/>
        <item x="0"/>
        <item x="4"/>
        <item x="8"/>
        <item x="6"/>
        <item x="1"/>
        <item x="2"/>
        <item x="9"/>
        <item x="7"/>
        <item t="default"/>
      </items>
    </pivotField>
    <pivotField showAll="0"/>
    <pivotField showAll="0">
      <items count="6">
        <item x="0"/>
        <item x="2"/>
        <item x="3"/>
        <item x="4"/>
        <item x="1"/>
        <item t="default"/>
      </items>
    </pivotField>
    <pivotField showAll="0">
      <items count="5">
        <item x="1"/>
        <item x="2"/>
        <item x="0"/>
        <item x="3"/>
        <item t="default"/>
      </items>
    </pivotField>
    <pivotField dataField="1" showAll="0"/>
    <pivotField dataField="1" showAll="0">
      <items count="501">
        <item x="152"/>
        <item x="75"/>
        <item x="335"/>
        <item x="382"/>
        <item x="4"/>
        <item x="13"/>
        <item x="10"/>
        <item x="73"/>
        <item x="187"/>
        <item x="445"/>
        <item x="147"/>
        <item x="483"/>
        <item x="144"/>
        <item x="482"/>
        <item x="370"/>
        <item x="23"/>
        <item x="272"/>
        <item x="212"/>
        <item x="32"/>
        <item x="25"/>
        <item x="267"/>
        <item x="129"/>
        <item x="477"/>
        <item x="161"/>
        <item x="313"/>
        <item x="20"/>
        <item x="223"/>
        <item x="300"/>
        <item x="391"/>
        <item x="178"/>
        <item x="381"/>
        <item x="135"/>
        <item x="12"/>
        <item x="156"/>
        <item x="341"/>
        <item x="120"/>
        <item x="33"/>
        <item x="60"/>
        <item x="121"/>
        <item x="311"/>
        <item x="287"/>
        <item x="145"/>
        <item x="384"/>
        <item x="82"/>
        <item x="290"/>
        <item x="184"/>
        <item x="155"/>
        <item x="203"/>
        <item x="64"/>
        <item x="263"/>
        <item x="312"/>
        <item x="2"/>
        <item x="297"/>
        <item x="493"/>
        <item x="383"/>
        <item x="471"/>
        <item x="107"/>
        <item x="310"/>
        <item x="288"/>
        <item x="77"/>
        <item x="117"/>
        <item x="251"/>
        <item x="393"/>
        <item x="62"/>
        <item x="15"/>
        <item x="306"/>
        <item x="48"/>
        <item x="434"/>
        <item x="29"/>
        <item x="461"/>
        <item x="215"/>
        <item x="472"/>
        <item x="491"/>
        <item x="325"/>
        <item x="418"/>
        <item x="285"/>
        <item x="256"/>
        <item x="128"/>
        <item x="179"/>
        <item x="328"/>
        <item x="1"/>
        <item x="330"/>
        <item x="22"/>
        <item x="480"/>
        <item x="337"/>
        <item x="232"/>
        <item x="112"/>
        <item x="24"/>
        <item x="292"/>
        <item x="34"/>
        <item x="88"/>
        <item x="86"/>
        <item x="188"/>
        <item x="182"/>
        <item x="442"/>
        <item x="207"/>
        <item x="185"/>
        <item x="227"/>
        <item x="90"/>
        <item x="113"/>
        <item x="372"/>
        <item x="205"/>
        <item x="423"/>
        <item x="213"/>
        <item x="177"/>
        <item x="303"/>
        <item x="199"/>
        <item x="352"/>
        <item x="367"/>
        <item x="468"/>
        <item x="250"/>
        <item x="283"/>
        <item x="463"/>
        <item x="293"/>
        <item x="131"/>
        <item x="302"/>
        <item x="110"/>
        <item x="426"/>
        <item x="35"/>
        <item x="377"/>
        <item x="183"/>
        <item x="447"/>
        <item x="165"/>
        <item x="424"/>
        <item x="282"/>
        <item x="95"/>
        <item x="324"/>
        <item x="234"/>
        <item x="244"/>
        <item x="389"/>
        <item x="160"/>
        <item x="365"/>
        <item x="260"/>
        <item x="309"/>
        <item x="68"/>
        <item x="18"/>
        <item x="42"/>
        <item x="435"/>
        <item x="31"/>
        <item x="9"/>
        <item x="123"/>
        <item x="276"/>
        <item x="194"/>
        <item x="404"/>
        <item x="498"/>
        <item x="157"/>
        <item x="241"/>
        <item x="420"/>
        <item x="0"/>
        <item x="291"/>
        <item x="440"/>
        <item x="109"/>
        <item x="427"/>
        <item x="54"/>
        <item x="432"/>
        <item x="197"/>
        <item x="46"/>
        <item x="206"/>
        <item x="344"/>
        <item x="473"/>
        <item x="398"/>
        <item x="116"/>
        <item x="492"/>
        <item x="317"/>
        <item x="332"/>
        <item x="277"/>
        <item x="496"/>
        <item x="364"/>
        <item x="146"/>
        <item x="106"/>
        <item x="349"/>
        <item x="189"/>
        <item x="45"/>
        <item x="200"/>
        <item x="369"/>
        <item x="191"/>
        <item x="360"/>
        <item x="338"/>
        <item x="403"/>
        <item x="66"/>
        <item x="336"/>
        <item x="413"/>
        <item x="431"/>
        <item x="5"/>
        <item x="322"/>
        <item x="55"/>
        <item x="321"/>
        <item x="81"/>
        <item x="425"/>
        <item x="444"/>
        <item x="69"/>
        <item x="379"/>
        <item x="333"/>
        <item x="169"/>
        <item x="130"/>
        <item x="380"/>
        <item x="497"/>
        <item x="214"/>
        <item x="487"/>
        <item x="375"/>
        <item x="96"/>
        <item x="358"/>
        <item x="221"/>
        <item x="348"/>
        <item x="407"/>
        <item x="202"/>
        <item x="108"/>
        <item x="416"/>
        <item x="488"/>
        <item x="329"/>
        <item x="133"/>
        <item x="105"/>
        <item x="296"/>
        <item x="412"/>
        <item x="224"/>
        <item x="270"/>
        <item x="97"/>
        <item x="346"/>
        <item x="359"/>
        <item x="353"/>
        <item x="101"/>
        <item x="193"/>
        <item x="132"/>
        <item x="443"/>
        <item x="196"/>
        <item x="52"/>
        <item x="49"/>
        <item x="485"/>
        <item x="159"/>
        <item x="230"/>
        <item x="481"/>
        <item x="318"/>
        <item x="258"/>
        <item x="222"/>
        <item x="30"/>
        <item x="351"/>
        <item x="453"/>
        <item x="475"/>
        <item x="181"/>
        <item x="239"/>
        <item x="386"/>
        <item x="172"/>
        <item x="72"/>
        <item x="266"/>
        <item x="433"/>
        <item x="190"/>
        <item x="220"/>
        <item x="253"/>
        <item x="419"/>
        <item x="448"/>
        <item x="340"/>
        <item x="446"/>
        <item x="307"/>
        <item x="53"/>
        <item x="100"/>
        <item x="168"/>
        <item x="124"/>
        <item x="342"/>
        <item x="229"/>
        <item x="490"/>
        <item x="16"/>
        <item x="242"/>
        <item x="219"/>
        <item x="127"/>
        <item x="417"/>
        <item x="171"/>
        <item x="465"/>
        <item x="271"/>
        <item x="91"/>
        <item x="275"/>
        <item x="460"/>
        <item x="150"/>
        <item x="19"/>
        <item x="368"/>
        <item x="56"/>
        <item x="394"/>
        <item x="67"/>
        <item x="195"/>
        <item x="162"/>
        <item x="99"/>
        <item x="89"/>
        <item x="43"/>
        <item x="198"/>
        <item x="499"/>
        <item x="347"/>
        <item x="83"/>
        <item x="175"/>
        <item x="278"/>
        <item x="269"/>
        <item x="238"/>
        <item x="134"/>
        <item x="103"/>
        <item x="354"/>
        <item x="138"/>
        <item x="176"/>
        <item x="166"/>
        <item x="486"/>
        <item x="173"/>
        <item x="141"/>
        <item x="316"/>
        <item x="6"/>
        <item x="255"/>
        <item x="218"/>
        <item x="98"/>
        <item x="93"/>
        <item x="257"/>
        <item x="395"/>
        <item x="74"/>
        <item x="373"/>
        <item x="47"/>
        <item x="470"/>
        <item x="14"/>
        <item x="163"/>
        <item x="281"/>
        <item x="139"/>
        <item x="228"/>
        <item x="57"/>
        <item x="295"/>
        <item x="264"/>
        <item x="118"/>
        <item x="334"/>
        <item x="58"/>
        <item x="429"/>
        <item x="102"/>
        <item x="301"/>
        <item x="36"/>
        <item x="225"/>
        <item x="148"/>
        <item x="385"/>
        <item x="439"/>
        <item x="469"/>
        <item x="76"/>
        <item x="79"/>
        <item x="119"/>
        <item x="273"/>
        <item x="467"/>
        <item x="28"/>
        <item x="345"/>
        <item x="390"/>
        <item x="245"/>
        <item x="376"/>
        <item x="94"/>
        <item x="158"/>
        <item x="142"/>
        <item x="114"/>
        <item x="298"/>
        <item x="279"/>
        <item x="26"/>
        <item x="236"/>
        <item x="326"/>
        <item x="371"/>
        <item x="122"/>
        <item x="243"/>
        <item x="259"/>
        <item x="459"/>
        <item x="137"/>
        <item x="38"/>
        <item x="378"/>
        <item x="495"/>
        <item x="208"/>
        <item x="457"/>
        <item x="265"/>
        <item x="167"/>
        <item x="314"/>
        <item x="343"/>
        <item x="85"/>
        <item x="201"/>
        <item x="216"/>
        <item x="11"/>
        <item x="458"/>
        <item x="164"/>
        <item x="37"/>
        <item x="154"/>
        <item x="478"/>
        <item x="280"/>
        <item x="61"/>
        <item x="397"/>
        <item x="331"/>
        <item x="204"/>
        <item x="262"/>
        <item x="437"/>
        <item x="388"/>
        <item x="41"/>
        <item x="455"/>
        <item x="210"/>
        <item x="449"/>
        <item x="450"/>
        <item x="192"/>
        <item x="327"/>
        <item x="78"/>
        <item x="362"/>
        <item x="50"/>
        <item x="209"/>
        <item x="174"/>
        <item x="44"/>
        <item x="87"/>
        <item x="350"/>
        <item x="409"/>
        <item x="456"/>
        <item x="40"/>
        <item x="489"/>
        <item x="304"/>
        <item x="254"/>
        <item x="240"/>
        <item x="7"/>
        <item x="406"/>
        <item x="125"/>
        <item x="441"/>
        <item x="421"/>
        <item x="136"/>
        <item x="430"/>
        <item x="479"/>
        <item x="319"/>
        <item x="422"/>
        <item x="84"/>
        <item x="231"/>
        <item x="237"/>
        <item x="261"/>
        <item x="289"/>
        <item x="186"/>
        <item x="235"/>
        <item x="323"/>
        <item x="80"/>
        <item x="252"/>
        <item x="436"/>
        <item x="143"/>
        <item x="452"/>
        <item x="246"/>
        <item x="249"/>
        <item x="361"/>
        <item x="308"/>
        <item x="226"/>
        <item x="401"/>
        <item x="305"/>
        <item x="247"/>
        <item x="400"/>
        <item x="415"/>
        <item x="180"/>
        <item x="476"/>
        <item x="115"/>
        <item x="387"/>
        <item x="411"/>
        <item x="451"/>
        <item x="355"/>
        <item x="151"/>
        <item x="211"/>
        <item x="414"/>
        <item x="27"/>
        <item x="339"/>
        <item x="366"/>
        <item x="59"/>
        <item x="92"/>
        <item x="466"/>
        <item x="111"/>
        <item x="104"/>
        <item x="153"/>
        <item x="233"/>
        <item x="17"/>
        <item x="408"/>
        <item x="320"/>
        <item x="51"/>
        <item x="170"/>
        <item x="396"/>
        <item x="8"/>
        <item x="474"/>
        <item x="402"/>
        <item x="284"/>
        <item x="454"/>
        <item x="399"/>
        <item x="462"/>
        <item x="3"/>
        <item x="294"/>
        <item x="494"/>
        <item x="315"/>
        <item x="428"/>
        <item x="438"/>
        <item x="464"/>
        <item x="21"/>
        <item x="39"/>
        <item x="217"/>
        <item x="126"/>
        <item x="274"/>
        <item x="357"/>
        <item x="63"/>
        <item x="356"/>
        <item x="248"/>
        <item x="484"/>
        <item x="374"/>
        <item x="405"/>
        <item x="268"/>
        <item x="149"/>
        <item x="140"/>
        <item x="392"/>
        <item x="286"/>
        <item x="299"/>
        <item x="410"/>
        <item x="71"/>
        <item x="65"/>
        <item x="363"/>
        <item x="70"/>
        <item t="default"/>
      </items>
    </pivotField>
  </pivotFields>
  <rowFields count="1">
    <field x="6"/>
  </rowFields>
  <rowItems count="6">
    <i>
      <x/>
    </i>
    <i>
      <x v="3"/>
    </i>
    <i>
      <x v="7"/>
    </i>
    <i>
      <x v="8"/>
    </i>
    <i>
      <x v="9"/>
    </i>
    <i t="grand">
      <x/>
    </i>
  </rowItems>
  <colFields count="1">
    <field x="-2"/>
  </colFields>
  <colItems count="2">
    <i>
      <x/>
    </i>
    <i i="1">
      <x v="1"/>
    </i>
  </colItems>
  <dataFields count="2">
    <dataField name="Sum of Sales_Amount" fld="10" baseField="0" baseItem="0"/>
    <dataField name="Sum of Profit" fld="11" baseField="0" baseItem="0"/>
  </dataField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191A6F-A60A-4147-9136-F881A98083F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8" firstHeaderRow="1" firstDataRow="1" firstDataCol="1"/>
  <pivotFields count="12">
    <pivotField showAll="0"/>
    <pivotField numFmtId="164" showAll="0"/>
    <pivotField dataField="1" showAll="0"/>
    <pivotField showAll="0">
      <items count="13">
        <item x="1"/>
        <item x="11"/>
        <item x="10"/>
        <item x="5"/>
        <item x="2"/>
        <item x="9"/>
        <item x="8"/>
        <item x="4"/>
        <item x="0"/>
        <item x="7"/>
        <item x="6"/>
        <item x="3"/>
        <item t="default"/>
      </items>
    </pivotField>
    <pivotField axis="axisRow" showAll="0">
      <items count="5">
        <item x="3"/>
        <item x="2"/>
        <item x="1"/>
        <item x="0"/>
        <item t="default"/>
      </items>
    </pivotField>
    <pivotField showAll="0">
      <items count="4">
        <item x="0"/>
        <item x="2"/>
        <item x="1"/>
        <item t="default"/>
      </items>
    </pivotField>
    <pivotField showAll="0">
      <items count="11">
        <item x="3"/>
        <item x="5"/>
        <item x="0"/>
        <item x="4"/>
        <item x="8"/>
        <item x="6"/>
        <item x="1"/>
        <item x="2"/>
        <item x="9"/>
        <item x="7"/>
        <item t="default"/>
      </items>
    </pivotField>
    <pivotField showAll="0"/>
    <pivotField showAll="0">
      <items count="6">
        <item x="0"/>
        <item x="2"/>
        <item x="3"/>
        <item x="4"/>
        <item x="1"/>
        <item t="default"/>
      </items>
    </pivotField>
    <pivotField showAll="0">
      <items count="5">
        <item x="1"/>
        <item x="2"/>
        <item x="0"/>
        <item x="3"/>
        <item t="default"/>
      </items>
    </pivotField>
    <pivotField showAll="0"/>
    <pivotField showAll="0">
      <items count="501">
        <item x="152"/>
        <item x="75"/>
        <item x="335"/>
        <item x="382"/>
        <item x="4"/>
        <item x="13"/>
        <item x="10"/>
        <item x="73"/>
        <item x="187"/>
        <item x="445"/>
        <item x="147"/>
        <item x="483"/>
        <item x="144"/>
        <item x="482"/>
        <item x="370"/>
        <item x="23"/>
        <item x="272"/>
        <item x="212"/>
        <item x="32"/>
        <item x="25"/>
        <item x="267"/>
        <item x="129"/>
        <item x="477"/>
        <item x="161"/>
        <item x="313"/>
        <item x="20"/>
        <item x="223"/>
        <item x="300"/>
        <item x="391"/>
        <item x="178"/>
        <item x="381"/>
        <item x="135"/>
        <item x="12"/>
        <item x="156"/>
        <item x="341"/>
        <item x="120"/>
        <item x="33"/>
        <item x="60"/>
        <item x="121"/>
        <item x="311"/>
        <item x="287"/>
        <item x="145"/>
        <item x="384"/>
        <item x="82"/>
        <item x="290"/>
        <item x="184"/>
        <item x="155"/>
        <item x="203"/>
        <item x="64"/>
        <item x="263"/>
        <item x="312"/>
        <item x="2"/>
        <item x="297"/>
        <item x="493"/>
        <item x="383"/>
        <item x="471"/>
        <item x="107"/>
        <item x="310"/>
        <item x="288"/>
        <item x="77"/>
        <item x="117"/>
        <item x="251"/>
        <item x="393"/>
        <item x="62"/>
        <item x="15"/>
        <item x="306"/>
        <item x="48"/>
        <item x="434"/>
        <item x="29"/>
        <item x="461"/>
        <item x="215"/>
        <item x="472"/>
        <item x="491"/>
        <item x="325"/>
        <item x="418"/>
        <item x="285"/>
        <item x="256"/>
        <item x="128"/>
        <item x="179"/>
        <item x="328"/>
        <item x="1"/>
        <item x="330"/>
        <item x="22"/>
        <item x="480"/>
        <item x="337"/>
        <item x="232"/>
        <item x="112"/>
        <item x="24"/>
        <item x="292"/>
        <item x="34"/>
        <item x="88"/>
        <item x="86"/>
        <item x="188"/>
        <item x="182"/>
        <item x="442"/>
        <item x="207"/>
        <item x="185"/>
        <item x="227"/>
        <item x="90"/>
        <item x="113"/>
        <item x="372"/>
        <item x="205"/>
        <item x="423"/>
        <item x="213"/>
        <item x="177"/>
        <item x="303"/>
        <item x="199"/>
        <item x="352"/>
        <item x="367"/>
        <item x="468"/>
        <item x="250"/>
        <item x="283"/>
        <item x="463"/>
        <item x="293"/>
        <item x="131"/>
        <item x="302"/>
        <item x="110"/>
        <item x="426"/>
        <item x="35"/>
        <item x="377"/>
        <item x="183"/>
        <item x="447"/>
        <item x="165"/>
        <item x="424"/>
        <item x="282"/>
        <item x="95"/>
        <item x="324"/>
        <item x="234"/>
        <item x="244"/>
        <item x="389"/>
        <item x="160"/>
        <item x="365"/>
        <item x="260"/>
        <item x="309"/>
        <item x="68"/>
        <item x="18"/>
        <item x="42"/>
        <item x="435"/>
        <item x="31"/>
        <item x="9"/>
        <item x="123"/>
        <item x="276"/>
        <item x="194"/>
        <item x="404"/>
        <item x="498"/>
        <item x="157"/>
        <item x="241"/>
        <item x="420"/>
        <item x="0"/>
        <item x="291"/>
        <item x="440"/>
        <item x="109"/>
        <item x="427"/>
        <item x="54"/>
        <item x="432"/>
        <item x="197"/>
        <item x="46"/>
        <item x="206"/>
        <item x="344"/>
        <item x="473"/>
        <item x="398"/>
        <item x="116"/>
        <item x="492"/>
        <item x="317"/>
        <item x="332"/>
        <item x="277"/>
        <item x="496"/>
        <item x="364"/>
        <item x="146"/>
        <item x="106"/>
        <item x="349"/>
        <item x="189"/>
        <item x="45"/>
        <item x="200"/>
        <item x="369"/>
        <item x="191"/>
        <item x="360"/>
        <item x="338"/>
        <item x="403"/>
        <item x="66"/>
        <item x="336"/>
        <item x="413"/>
        <item x="431"/>
        <item x="5"/>
        <item x="322"/>
        <item x="55"/>
        <item x="321"/>
        <item x="81"/>
        <item x="425"/>
        <item x="444"/>
        <item x="69"/>
        <item x="379"/>
        <item x="333"/>
        <item x="169"/>
        <item x="130"/>
        <item x="380"/>
        <item x="497"/>
        <item x="214"/>
        <item x="487"/>
        <item x="375"/>
        <item x="96"/>
        <item x="358"/>
        <item x="221"/>
        <item x="348"/>
        <item x="407"/>
        <item x="202"/>
        <item x="108"/>
        <item x="416"/>
        <item x="488"/>
        <item x="329"/>
        <item x="133"/>
        <item x="105"/>
        <item x="296"/>
        <item x="412"/>
        <item x="224"/>
        <item x="270"/>
        <item x="97"/>
        <item x="346"/>
        <item x="359"/>
        <item x="353"/>
        <item x="101"/>
        <item x="193"/>
        <item x="132"/>
        <item x="443"/>
        <item x="196"/>
        <item x="52"/>
        <item x="49"/>
        <item x="485"/>
        <item x="159"/>
        <item x="230"/>
        <item x="481"/>
        <item x="318"/>
        <item x="258"/>
        <item x="222"/>
        <item x="30"/>
        <item x="351"/>
        <item x="453"/>
        <item x="475"/>
        <item x="181"/>
        <item x="239"/>
        <item x="386"/>
        <item x="172"/>
        <item x="72"/>
        <item x="266"/>
        <item x="433"/>
        <item x="190"/>
        <item x="220"/>
        <item x="253"/>
        <item x="419"/>
        <item x="448"/>
        <item x="340"/>
        <item x="446"/>
        <item x="307"/>
        <item x="53"/>
        <item x="100"/>
        <item x="168"/>
        <item x="124"/>
        <item x="342"/>
        <item x="229"/>
        <item x="490"/>
        <item x="16"/>
        <item x="242"/>
        <item x="219"/>
        <item x="127"/>
        <item x="417"/>
        <item x="171"/>
        <item x="465"/>
        <item x="271"/>
        <item x="91"/>
        <item x="275"/>
        <item x="460"/>
        <item x="150"/>
        <item x="19"/>
        <item x="368"/>
        <item x="56"/>
        <item x="394"/>
        <item x="67"/>
        <item x="195"/>
        <item x="162"/>
        <item x="99"/>
        <item x="89"/>
        <item x="43"/>
        <item x="198"/>
        <item x="499"/>
        <item x="347"/>
        <item x="83"/>
        <item x="175"/>
        <item x="278"/>
        <item x="269"/>
        <item x="238"/>
        <item x="134"/>
        <item x="103"/>
        <item x="354"/>
        <item x="138"/>
        <item x="176"/>
        <item x="166"/>
        <item x="486"/>
        <item x="173"/>
        <item x="141"/>
        <item x="316"/>
        <item x="6"/>
        <item x="255"/>
        <item x="218"/>
        <item x="98"/>
        <item x="93"/>
        <item x="257"/>
        <item x="395"/>
        <item x="74"/>
        <item x="373"/>
        <item x="47"/>
        <item x="470"/>
        <item x="14"/>
        <item x="163"/>
        <item x="281"/>
        <item x="139"/>
        <item x="228"/>
        <item x="57"/>
        <item x="295"/>
        <item x="264"/>
        <item x="118"/>
        <item x="334"/>
        <item x="58"/>
        <item x="429"/>
        <item x="102"/>
        <item x="301"/>
        <item x="36"/>
        <item x="225"/>
        <item x="148"/>
        <item x="385"/>
        <item x="439"/>
        <item x="469"/>
        <item x="76"/>
        <item x="79"/>
        <item x="119"/>
        <item x="273"/>
        <item x="467"/>
        <item x="28"/>
        <item x="345"/>
        <item x="390"/>
        <item x="245"/>
        <item x="376"/>
        <item x="94"/>
        <item x="158"/>
        <item x="142"/>
        <item x="114"/>
        <item x="298"/>
        <item x="279"/>
        <item x="26"/>
        <item x="236"/>
        <item x="326"/>
        <item x="371"/>
        <item x="122"/>
        <item x="243"/>
        <item x="259"/>
        <item x="459"/>
        <item x="137"/>
        <item x="38"/>
        <item x="378"/>
        <item x="495"/>
        <item x="208"/>
        <item x="457"/>
        <item x="265"/>
        <item x="167"/>
        <item x="314"/>
        <item x="343"/>
        <item x="85"/>
        <item x="201"/>
        <item x="216"/>
        <item x="11"/>
        <item x="458"/>
        <item x="164"/>
        <item x="37"/>
        <item x="154"/>
        <item x="478"/>
        <item x="280"/>
        <item x="61"/>
        <item x="397"/>
        <item x="331"/>
        <item x="204"/>
        <item x="262"/>
        <item x="437"/>
        <item x="388"/>
        <item x="41"/>
        <item x="455"/>
        <item x="210"/>
        <item x="449"/>
        <item x="450"/>
        <item x="192"/>
        <item x="327"/>
        <item x="78"/>
        <item x="362"/>
        <item x="50"/>
        <item x="209"/>
        <item x="174"/>
        <item x="44"/>
        <item x="87"/>
        <item x="350"/>
        <item x="409"/>
        <item x="456"/>
        <item x="40"/>
        <item x="489"/>
        <item x="304"/>
        <item x="254"/>
        <item x="240"/>
        <item x="7"/>
        <item x="406"/>
        <item x="125"/>
        <item x="441"/>
        <item x="421"/>
        <item x="136"/>
        <item x="430"/>
        <item x="479"/>
        <item x="319"/>
        <item x="422"/>
        <item x="84"/>
        <item x="231"/>
        <item x="237"/>
        <item x="261"/>
        <item x="289"/>
        <item x="186"/>
        <item x="235"/>
        <item x="323"/>
        <item x="80"/>
        <item x="252"/>
        <item x="436"/>
        <item x="143"/>
        <item x="452"/>
        <item x="246"/>
        <item x="249"/>
        <item x="361"/>
        <item x="308"/>
        <item x="226"/>
        <item x="401"/>
        <item x="305"/>
        <item x="247"/>
        <item x="400"/>
        <item x="415"/>
        <item x="180"/>
        <item x="476"/>
        <item x="115"/>
        <item x="387"/>
        <item x="411"/>
        <item x="451"/>
        <item x="355"/>
        <item x="151"/>
        <item x="211"/>
        <item x="414"/>
        <item x="27"/>
        <item x="339"/>
        <item x="366"/>
        <item x="59"/>
        <item x="92"/>
        <item x="466"/>
        <item x="111"/>
        <item x="104"/>
        <item x="153"/>
        <item x="233"/>
        <item x="17"/>
        <item x="408"/>
        <item x="320"/>
        <item x="51"/>
        <item x="170"/>
        <item x="396"/>
        <item x="8"/>
        <item x="474"/>
        <item x="402"/>
        <item x="284"/>
        <item x="454"/>
        <item x="399"/>
        <item x="462"/>
        <item x="3"/>
        <item x="294"/>
        <item x="494"/>
        <item x="315"/>
        <item x="428"/>
        <item x="438"/>
        <item x="464"/>
        <item x="21"/>
        <item x="39"/>
        <item x="217"/>
        <item x="126"/>
        <item x="274"/>
        <item x="357"/>
        <item x="63"/>
        <item x="356"/>
        <item x="248"/>
        <item x="484"/>
        <item x="374"/>
        <item x="405"/>
        <item x="268"/>
        <item x="149"/>
        <item x="140"/>
        <item x="392"/>
        <item x="286"/>
        <item x="299"/>
        <item x="410"/>
        <item x="71"/>
        <item x="65"/>
        <item x="363"/>
        <item x="70"/>
        <item t="default"/>
      </items>
    </pivotField>
  </pivotFields>
  <rowFields count="1">
    <field x="4"/>
  </rowFields>
  <rowItems count="5">
    <i>
      <x/>
    </i>
    <i>
      <x v="1"/>
    </i>
    <i>
      <x v="2"/>
    </i>
    <i>
      <x v="3"/>
    </i>
    <i t="grand">
      <x/>
    </i>
  </rowItems>
  <colItems count="1">
    <i/>
  </colItems>
  <dataFields count="1">
    <dataField name="Count of Customer_ID" fld="2" subtotal="count" baseField="0" baseItem="0"/>
  </dataFields>
  <chartFormats count="4">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A92E66-B3AF-4EEF-9CB1-38C89F41A20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12">
    <pivotField showAll="0"/>
    <pivotField numFmtId="164" showAll="0"/>
    <pivotField showAll="0"/>
    <pivotField showAll="0">
      <items count="13">
        <item x="1"/>
        <item x="11"/>
        <item x="10"/>
        <item x="5"/>
        <item x="2"/>
        <item x="9"/>
        <item x="8"/>
        <item x="4"/>
        <item x="0"/>
        <item x="7"/>
        <item x="6"/>
        <item x="3"/>
        <item t="default"/>
      </items>
    </pivotField>
    <pivotField axis="axisRow" showAll="0">
      <items count="5">
        <item x="3"/>
        <item x="2"/>
        <item x="1"/>
        <item x="0"/>
        <item t="default"/>
      </items>
    </pivotField>
    <pivotField showAll="0">
      <items count="4">
        <item x="0"/>
        <item x="2"/>
        <item x="1"/>
        <item t="default"/>
      </items>
    </pivotField>
    <pivotField showAll="0">
      <items count="11">
        <item x="3"/>
        <item x="5"/>
        <item x="0"/>
        <item x="4"/>
        <item x="8"/>
        <item x="6"/>
        <item x="1"/>
        <item x="2"/>
        <item x="9"/>
        <item x="7"/>
        <item t="default"/>
      </items>
    </pivotField>
    <pivotField showAll="0"/>
    <pivotField showAll="0">
      <items count="6">
        <item x="0"/>
        <item x="2"/>
        <item x="3"/>
        <item x="4"/>
        <item x="1"/>
        <item t="default"/>
      </items>
    </pivotField>
    <pivotField showAll="0">
      <items count="5">
        <item x="1"/>
        <item x="2"/>
        <item x="0"/>
        <item x="3"/>
        <item t="default"/>
      </items>
    </pivotField>
    <pivotField showAll="0"/>
    <pivotField dataField="1" showAll="0">
      <items count="501">
        <item x="152"/>
        <item x="75"/>
        <item x="335"/>
        <item x="382"/>
        <item x="4"/>
        <item x="13"/>
        <item x="10"/>
        <item x="73"/>
        <item x="187"/>
        <item x="445"/>
        <item x="147"/>
        <item x="483"/>
        <item x="144"/>
        <item x="482"/>
        <item x="370"/>
        <item x="23"/>
        <item x="272"/>
        <item x="212"/>
        <item x="32"/>
        <item x="25"/>
        <item x="267"/>
        <item x="129"/>
        <item x="477"/>
        <item x="161"/>
        <item x="313"/>
        <item x="20"/>
        <item x="223"/>
        <item x="300"/>
        <item x="391"/>
        <item x="178"/>
        <item x="381"/>
        <item x="135"/>
        <item x="12"/>
        <item x="156"/>
        <item x="341"/>
        <item x="120"/>
        <item x="33"/>
        <item x="60"/>
        <item x="121"/>
        <item x="311"/>
        <item x="287"/>
        <item x="145"/>
        <item x="384"/>
        <item x="82"/>
        <item x="290"/>
        <item x="184"/>
        <item x="155"/>
        <item x="203"/>
        <item x="64"/>
        <item x="263"/>
        <item x="312"/>
        <item x="2"/>
        <item x="297"/>
        <item x="493"/>
        <item x="383"/>
        <item x="471"/>
        <item x="107"/>
        <item x="310"/>
        <item x="288"/>
        <item x="77"/>
        <item x="117"/>
        <item x="251"/>
        <item x="393"/>
        <item x="62"/>
        <item x="15"/>
        <item x="306"/>
        <item x="48"/>
        <item x="434"/>
        <item x="29"/>
        <item x="461"/>
        <item x="215"/>
        <item x="472"/>
        <item x="491"/>
        <item x="325"/>
        <item x="418"/>
        <item x="285"/>
        <item x="256"/>
        <item x="128"/>
        <item x="179"/>
        <item x="328"/>
        <item x="1"/>
        <item x="330"/>
        <item x="22"/>
        <item x="480"/>
        <item x="337"/>
        <item x="232"/>
        <item x="112"/>
        <item x="24"/>
        <item x="292"/>
        <item x="34"/>
        <item x="88"/>
        <item x="86"/>
        <item x="188"/>
        <item x="182"/>
        <item x="442"/>
        <item x="207"/>
        <item x="185"/>
        <item x="227"/>
        <item x="90"/>
        <item x="113"/>
        <item x="372"/>
        <item x="205"/>
        <item x="423"/>
        <item x="213"/>
        <item x="177"/>
        <item x="303"/>
        <item x="199"/>
        <item x="352"/>
        <item x="367"/>
        <item x="468"/>
        <item x="250"/>
        <item x="283"/>
        <item x="463"/>
        <item x="293"/>
        <item x="131"/>
        <item x="302"/>
        <item x="110"/>
        <item x="426"/>
        <item x="35"/>
        <item x="377"/>
        <item x="183"/>
        <item x="447"/>
        <item x="165"/>
        <item x="424"/>
        <item x="282"/>
        <item x="95"/>
        <item x="324"/>
        <item x="234"/>
        <item x="244"/>
        <item x="389"/>
        <item x="160"/>
        <item x="365"/>
        <item x="260"/>
        <item x="309"/>
        <item x="68"/>
        <item x="18"/>
        <item x="42"/>
        <item x="435"/>
        <item x="31"/>
        <item x="9"/>
        <item x="123"/>
        <item x="276"/>
        <item x="194"/>
        <item x="404"/>
        <item x="498"/>
        <item x="157"/>
        <item x="241"/>
        <item x="420"/>
        <item x="0"/>
        <item x="291"/>
        <item x="440"/>
        <item x="109"/>
        <item x="427"/>
        <item x="54"/>
        <item x="432"/>
        <item x="197"/>
        <item x="46"/>
        <item x="206"/>
        <item x="344"/>
        <item x="473"/>
        <item x="398"/>
        <item x="116"/>
        <item x="492"/>
        <item x="317"/>
        <item x="332"/>
        <item x="277"/>
        <item x="496"/>
        <item x="364"/>
        <item x="146"/>
        <item x="106"/>
        <item x="349"/>
        <item x="189"/>
        <item x="45"/>
        <item x="200"/>
        <item x="369"/>
        <item x="191"/>
        <item x="360"/>
        <item x="338"/>
        <item x="403"/>
        <item x="66"/>
        <item x="336"/>
        <item x="413"/>
        <item x="431"/>
        <item x="5"/>
        <item x="322"/>
        <item x="55"/>
        <item x="321"/>
        <item x="81"/>
        <item x="425"/>
        <item x="444"/>
        <item x="69"/>
        <item x="379"/>
        <item x="333"/>
        <item x="169"/>
        <item x="130"/>
        <item x="380"/>
        <item x="497"/>
        <item x="214"/>
        <item x="487"/>
        <item x="375"/>
        <item x="96"/>
        <item x="358"/>
        <item x="221"/>
        <item x="348"/>
        <item x="407"/>
        <item x="202"/>
        <item x="108"/>
        <item x="416"/>
        <item x="488"/>
        <item x="329"/>
        <item x="133"/>
        <item x="105"/>
        <item x="296"/>
        <item x="412"/>
        <item x="224"/>
        <item x="270"/>
        <item x="97"/>
        <item x="346"/>
        <item x="359"/>
        <item x="353"/>
        <item x="101"/>
        <item x="193"/>
        <item x="132"/>
        <item x="443"/>
        <item x="196"/>
        <item x="52"/>
        <item x="49"/>
        <item x="485"/>
        <item x="159"/>
        <item x="230"/>
        <item x="481"/>
        <item x="318"/>
        <item x="258"/>
        <item x="222"/>
        <item x="30"/>
        <item x="351"/>
        <item x="453"/>
        <item x="475"/>
        <item x="181"/>
        <item x="239"/>
        <item x="386"/>
        <item x="172"/>
        <item x="72"/>
        <item x="266"/>
        <item x="433"/>
        <item x="190"/>
        <item x="220"/>
        <item x="253"/>
        <item x="419"/>
        <item x="448"/>
        <item x="340"/>
        <item x="446"/>
        <item x="307"/>
        <item x="53"/>
        <item x="100"/>
        <item x="168"/>
        <item x="124"/>
        <item x="342"/>
        <item x="229"/>
        <item x="490"/>
        <item x="16"/>
        <item x="242"/>
        <item x="219"/>
        <item x="127"/>
        <item x="417"/>
        <item x="171"/>
        <item x="465"/>
        <item x="271"/>
        <item x="91"/>
        <item x="275"/>
        <item x="460"/>
        <item x="150"/>
        <item x="19"/>
        <item x="368"/>
        <item x="56"/>
        <item x="394"/>
        <item x="67"/>
        <item x="195"/>
        <item x="162"/>
        <item x="99"/>
        <item x="89"/>
        <item x="43"/>
        <item x="198"/>
        <item x="499"/>
        <item x="347"/>
        <item x="83"/>
        <item x="175"/>
        <item x="278"/>
        <item x="269"/>
        <item x="238"/>
        <item x="134"/>
        <item x="103"/>
        <item x="354"/>
        <item x="138"/>
        <item x="176"/>
        <item x="166"/>
        <item x="486"/>
        <item x="173"/>
        <item x="141"/>
        <item x="316"/>
        <item x="6"/>
        <item x="255"/>
        <item x="218"/>
        <item x="98"/>
        <item x="93"/>
        <item x="257"/>
        <item x="395"/>
        <item x="74"/>
        <item x="373"/>
        <item x="47"/>
        <item x="470"/>
        <item x="14"/>
        <item x="163"/>
        <item x="281"/>
        <item x="139"/>
        <item x="228"/>
        <item x="57"/>
        <item x="295"/>
        <item x="264"/>
        <item x="118"/>
        <item x="334"/>
        <item x="58"/>
        <item x="429"/>
        <item x="102"/>
        <item x="301"/>
        <item x="36"/>
        <item x="225"/>
        <item x="148"/>
        <item x="385"/>
        <item x="439"/>
        <item x="469"/>
        <item x="76"/>
        <item x="79"/>
        <item x="119"/>
        <item x="273"/>
        <item x="467"/>
        <item x="28"/>
        <item x="345"/>
        <item x="390"/>
        <item x="245"/>
        <item x="376"/>
        <item x="94"/>
        <item x="158"/>
        <item x="142"/>
        <item x="114"/>
        <item x="298"/>
        <item x="279"/>
        <item x="26"/>
        <item x="236"/>
        <item x="326"/>
        <item x="371"/>
        <item x="122"/>
        <item x="243"/>
        <item x="259"/>
        <item x="459"/>
        <item x="137"/>
        <item x="38"/>
        <item x="378"/>
        <item x="495"/>
        <item x="208"/>
        <item x="457"/>
        <item x="265"/>
        <item x="167"/>
        <item x="314"/>
        <item x="343"/>
        <item x="85"/>
        <item x="201"/>
        <item x="216"/>
        <item x="11"/>
        <item x="458"/>
        <item x="164"/>
        <item x="37"/>
        <item x="154"/>
        <item x="478"/>
        <item x="280"/>
        <item x="61"/>
        <item x="397"/>
        <item x="331"/>
        <item x="204"/>
        <item x="262"/>
        <item x="437"/>
        <item x="388"/>
        <item x="41"/>
        <item x="455"/>
        <item x="210"/>
        <item x="449"/>
        <item x="450"/>
        <item x="192"/>
        <item x="327"/>
        <item x="78"/>
        <item x="362"/>
        <item x="50"/>
        <item x="209"/>
        <item x="174"/>
        <item x="44"/>
        <item x="87"/>
        <item x="350"/>
        <item x="409"/>
        <item x="456"/>
        <item x="40"/>
        <item x="489"/>
        <item x="304"/>
        <item x="254"/>
        <item x="240"/>
        <item x="7"/>
        <item x="406"/>
        <item x="125"/>
        <item x="441"/>
        <item x="421"/>
        <item x="136"/>
        <item x="430"/>
        <item x="479"/>
        <item x="319"/>
        <item x="422"/>
        <item x="84"/>
        <item x="231"/>
        <item x="237"/>
        <item x="261"/>
        <item x="289"/>
        <item x="186"/>
        <item x="235"/>
        <item x="323"/>
        <item x="80"/>
        <item x="252"/>
        <item x="436"/>
        <item x="143"/>
        <item x="452"/>
        <item x="246"/>
        <item x="249"/>
        <item x="361"/>
        <item x="308"/>
        <item x="226"/>
        <item x="401"/>
        <item x="305"/>
        <item x="247"/>
        <item x="400"/>
        <item x="415"/>
        <item x="180"/>
        <item x="476"/>
        <item x="115"/>
        <item x="387"/>
        <item x="411"/>
        <item x="451"/>
        <item x="355"/>
        <item x="151"/>
        <item x="211"/>
        <item x="414"/>
        <item x="27"/>
        <item x="339"/>
        <item x="366"/>
        <item x="59"/>
        <item x="92"/>
        <item x="466"/>
        <item x="111"/>
        <item x="104"/>
        <item x="153"/>
        <item x="233"/>
        <item x="17"/>
        <item x="408"/>
        <item x="320"/>
        <item x="51"/>
        <item x="170"/>
        <item x="396"/>
        <item x="8"/>
        <item x="474"/>
        <item x="402"/>
        <item x="284"/>
        <item x="454"/>
        <item x="399"/>
        <item x="462"/>
        <item x="3"/>
        <item x="294"/>
        <item x="494"/>
        <item x="315"/>
        <item x="428"/>
        <item x="438"/>
        <item x="464"/>
        <item x="21"/>
        <item x="39"/>
        <item x="217"/>
        <item x="126"/>
        <item x="274"/>
        <item x="357"/>
        <item x="63"/>
        <item x="356"/>
        <item x="248"/>
        <item x="484"/>
        <item x="374"/>
        <item x="405"/>
        <item x="268"/>
        <item x="149"/>
        <item x="140"/>
        <item x="392"/>
        <item x="286"/>
        <item x="299"/>
        <item x="410"/>
        <item x="71"/>
        <item x="65"/>
        <item x="363"/>
        <item x="70"/>
        <item t="default"/>
      </items>
    </pivotField>
  </pivotFields>
  <rowFields count="1">
    <field x="4"/>
  </rowFields>
  <rowItems count="5">
    <i>
      <x/>
    </i>
    <i>
      <x v="1"/>
    </i>
    <i>
      <x v="2"/>
    </i>
    <i>
      <x v="3"/>
    </i>
    <i t="grand">
      <x/>
    </i>
  </rowItems>
  <colItems count="1">
    <i/>
  </colItems>
  <dataFields count="1">
    <dataField name="Sum of Profit" fld="11" baseField="0" baseItem="0"/>
  </dataFields>
  <formats count="2">
    <format dxfId="1">
      <pivotArea grandRow="1" outline="0" collapsedLevelsAreSubtotals="1" fieldPosition="0"/>
    </format>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5C6B47-BB16-423C-B212-CA049E2F55F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2">
    <pivotField showAll="0"/>
    <pivotField numFmtId="164" showAll="0"/>
    <pivotField showAll="0"/>
    <pivotField showAll="0">
      <items count="13">
        <item x="1"/>
        <item x="11"/>
        <item x="10"/>
        <item x="5"/>
        <item x="2"/>
        <item x="9"/>
        <item x="8"/>
        <item x="4"/>
        <item x="0"/>
        <item x="7"/>
        <item x="6"/>
        <item x="3"/>
        <item t="default"/>
      </items>
    </pivotField>
    <pivotField showAll="0">
      <items count="5">
        <item x="3"/>
        <item x="2"/>
        <item x="1"/>
        <item x="0"/>
        <item t="default"/>
      </items>
    </pivotField>
    <pivotField axis="axisRow" showAll="0">
      <items count="4">
        <item x="0"/>
        <item x="2"/>
        <item x="1"/>
        <item t="default"/>
      </items>
    </pivotField>
    <pivotField showAll="0">
      <items count="11">
        <item sd="0" x="3"/>
        <item x="5"/>
        <item x="0"/>
        <item x="4"/>
        <item x="8"/>
        <item x="6"/>
        <item x="1"/>
        <item x="2"/>
        <item x="9"/>
        <item x="7"/>
        <item t="default"/>
      </items>
    </pivotField>
    <pivotField dataField="1" showAll="0"/>
    <pivotField showAll="0">
      <items count="6">
        <item x="0"/>
        <item x="2"/>
        <item x="3"/>
        <item x="4"/>
        <item x="1"/>
        <item t="default"/>
      </items>
    </pivotField>
    <pivotField showAll="0">
      <items count="5">
        <item x="1"/>
        <item x="2"/>
        <item x="0"/>
        <item x="3"/>
        <item t="default"/>
      </items>
    </pivotField>
    <pivotField showAll="0"/>
    <pivotField showAll="0">
      <items count="501">
        <item x="152"/>
        <item x="75"/>
        <item x="335"/>
        <item x="382"/>
        <item x="4"/>
        <item x="13"/>
        <item x="10"/>
        <item x="73"/>
        <item x="187"/>
        <item x="445"/>
        <item x="147"/>
        <item x="483"/>
        <item x="144"/>
        <item x="482"/>
        <item x="370"/>
        <item x="23"/>
        <item x="272"/>
        <item x="212"/>
        <item x="32"/>
        <item x="25"/>
        <item x="267"/>
        <item x="129"/>
        <item x="477"/>
        <item x="161"/>
        <item x="313"/>
        <item x="20"/>
        <item x="223"/>
        <item x="300"/>
        <item x="391"/>
        <item x="178"/>
        <item x="381"/>
        <item x="135"/>
        <item x="12"/>
        <item x="156"/>
        <item x="341"/>
        <item x="120"/>
        <item x="33"/>
        <item x="60"/>
        <item x="121"/>
        <item x="311"/>
        <item x="287"/>
        <item x="145"/>
        <item x="384"/>
        <item x="82"/>
        <item x="290"/>
        <item x="184"/>
        <item x="155"/>
        <item x="203"/>
        <item x="64"/>
        <item x="263"/>
        <item x="312"/>
        <item x="2"/>
        <item x="297"/>
        <item x="493"/>
        <item x="383"/>
        <item x="471"/>
        <item x="107"/>
        <item x="310"/>
        <item x="288"/>
        <item x="77"/>
        <item x="117"/>
        <item x="251"/>
        <item x="393"/>
        <item x="62"/>
        <item x="15"/>
        <item x="306"/>
        <item x="48"/>
        <item x="434"/>
        <item x="29"/>
        <item x="461"/>
        <item x="215"/>
        <item x="472"/>
        <item x="491"/>
        <item x="325"/>
        <item x="418"/>
        <item x="285"/>
        <item x="256"/>
        <item x="128"/>
        <item x="179"/>
        <item x="328"/>
        <item x="1"/>
        <item x="330"/>
        <item x="22"/>
        <item x="480"/>
        <item x="337"/>
        <item x="232"/>
        <item x="112"/>
        <item x="24"/>
        <item x="292"/>
        <item x="34"/>
        <item x="88"/>
        <item x="86"/>
        <item x="188"/>
        <item x="182"/>
        <item x="442"/>
        <item x="207"/>
        <item x="185"/>
        <item x="227"/>
        <item x="90"/>
        <item x="113"/>
        <item x="372"/>
        <item x="205"/>
        <item x="423"/>
        <item x="213"/>
        <item x="177"/>
        <item x="303"/>
        <item x="199"/>
        <item x="352"/>
        <item x="367"/>
        <item x="468"/>
        <item x="250"/>
        <item x="283"/>
        <item x="463"/>
        <item x="293"/>
        <item x="131"/>
        <item x="302"/>
        <item x="110"/>
        <item x="426"/>
        <item x="35"/>
        <item x="377"/>
        <item x="183"/>
        <item x="447"/>
        <item x="165"/>
        <item x="424"/>
        <item x="282"/>
        <item x="95"/>
        <item x="324"/>
        <item x="234"/>
        <item x="244"/>
        <item x="389"/>
        <item x="160"/>
        <item x="365"/>
        <item x="260"/>
        <item x="309"/>
        <item x="68"/>
        <item x="18"/>
        <item x="42"/>
        <item x="435"/>
        <item x="31"/>
        <item x="9"/>
        <item x="123"/>
        <item x="276"/>
        <item x="194"/>
        <item x="404"/>
        <item x="498"/>
        <item x="157"/>
        <item x="241"/>
        <item x="420"/>
        <item x="0"/>
        <item x="291"/>
        <item x="440"/>
        <item x="109"/>
        <item x="427"/>
        <item x="54"/>
        <item x="432"/>
        <item x="197"/>
        <item x="46"/>
        <item x="206"/>
        <item x="344"/>
        <item x="473"/>
        <item x="398"/>
        <item x="116"/>
        <item x="492"/>
        <item x="317"/>
        <item x="332"/>
        <item x="277"/>
        <item x="496"/>
        <item x="364"/>
        <item x="146"/>
        <item x="106"/>
        <item x="349"/>
        <item x="189"/>
        <item x="45"/>
        <item x="200"/>
        <item x="369"/>
        <item x="191"/>
        <item x="360"/>
        <item x="338"/>
        <item x="403"/>
        <item x="66"/>
        <item x="336"/>
        <item x="413"/>
        <item x="431"/>
        <item x="5"/>
        <item x="322"/>
        <item x="55"/>
        <item x="321"/>
        <item x="81"/>
        <item x="425"/>
        <item x="444"/>
        <item x="69"/>
        <item x="379"/>
        <item x="333"/>
        <item x="169"/>
        <item x="130"/>
        <item x="380"/>
        <item x="497"/>
        <item x="214"/>
        <item x="487"/>
        <item x="375"/>
        <item x="96"/>
        <item x="358"/>
        <item x="221"/>
        <item x="348"/>
        <item x="407"/>
        <item x="202"/>
        <item x="108"/>
        <item x="416"/>
        <item x="488"/>
        <item x="329"/>
        <item x="133"/>
        <item x="105"/>
        <item x="296"/>
        <item x="412"/>
        <item x="224"/>
        <item x="270"/>
        <item x="97"/>
        <item x="346"/>
        <item x="359"/>
        <item x="353"/>
        <item x="101"/>
        <item x="193"/>
        <item x="132"/>
        <item x="443"/>
        <item x="196"/>
        <item x="52"/>
        <item x="49"/>
        <item x="485"/>
        <item x="159"/>
        <item x="230"/>
        <item x="481"/>
        <item x="318"/>
        <item x="258"/>
        <item x="222"/>
        <item x="30"/>
        <item x="351"/>
        <item x="453"/>
        <item x="475"/>
        <item x="181"/>
        <item x="239"/>
        <item x="386"/>
        <item x="172"/>
        <item x="72"/>
        <item x="266"/>
        <item x="433"/>
        <item x="190"/>
        <item x="220"/>
        <item x="253"/>
        <item x="419"/>
        <item x="448"/>
        <item x="340"/>
        <item x="446"/>
        <item x="307"/>
        <item x="53"/>
        <item x="100"/>
        <item x="168"/>
        <item x="124"/>
        <item x="342"/>
        <item x="229"/>
        <item x="490"/>
        <item x="16"/>
        <item x="242"/>
        <item x="219"/>
        <item x="127"/>
        <item x="417"/>
        <item x="171"/>
        <item x="465"/>
        <item x="271"/>
        <item x="91"/>
        <item x="275"/>
        <item x="460"/>
        <item x="150"/>
        <item x="19"/>
        <item x="368"/>
        <item x="56"/>
        <item x="394"/>
        <item x="67"/>
        <item x="195"/>
        <item x="162"/>
        <item x="99"/>
        <item x="89"/>
        <item x="43"/>
        <item x="198"/>
        <item x="499"/>
        <item x="347"/>
        <item x="83"/>
        <item x="175"/>
        <item x="278"/>
        <item x="269"/>
        <item x="238"/>
        <item x="134"/>
        <item x="103"/>
        <item x="354"/>
        <item x="138"/>
        <item x="176"/>
        <item x="166"/>
        <item x="486"/>
        <item x="173"/>
        <item x="141"/>
        <item x="316"/>
        <item x="6"/>
        <item x="255"/>
        <item x="218"/>
        <item x="98"/>
        <item x="93"/>
        <item x="257"/>
        <item x="395"/>
        <item x="74"/>
        <item x="373"/>
        <item x="47"/>
        <item x="470"/>
        <item x="14"/>
        <item x="163"/>
        <item x="281"/>
        <item x="139"/>
        <item x="228"/>
        <item x="57"/>
        <item x="295"/>
        <item x="264"/>
        <item x="118"/>
        <item x="334"/>
        <item x="58"/>
        <item x="429"/>
        <item x="102"/>
        <item x="301"/>
        <item x="36"/>
        <item x="225"/>
        <item x="148"/>
        <item x="385"/>
        <item x="439"/>
        <item x="469"/>
        <item x="76"/>
        <item x="79"/>
        <item x="119"/>
        <item x="273"/>
        <item x="467"/>
        <item x="28"/>
        <item x="345"/>
        <item x="390"/>
        <item x="245"/>
        <item x="376"/>
        <item x="94"/>
        <item x="158"/>
        <item x="142"/>
        <item x="114"/>
        <item x="298"/>
        <item x="279"/>
        <item x="26"/>
        <item x="236"/>
        <item x="326"/>
        <item x="371"/>
        <item x="122"/>
        <item x="243"/>
        <item x="259"/>
        <item x="459"/>
        <item x="137"/>
        <item x="38"/>
        <item x="378"/>
        <item x="495"/>
        <item x="208"/>
        <item x="457"/>
        <item x="265"/>
        <item x="167"/>
        <item x="314"/>
        <item x="343"/>
        <item x="85"/>
        <item x="201"/>
        <item x="216"/>
        <item x="11"/>
        <item x="458"/>
        <item x="164"/>
        <item x="37"/>
        <item x="154"/>
        <item x="478"/>
        <item x="280"/>
        <item x="61"/>
        <item x="397"/>
        <item x="331"/>
        <item x="204"/>
        <item x="262"/>
        <item x="437"/>
        <item x="388"/>
        <item x="41"/>
        <item x="455"/>
        <item x="210"/>
        <item x="449"/>
        <item x="450"/>
        <item x="192"/>
        <item x="327"/>
        <item x="78"/>
        <item x="362"/>
        <item x="50"/>
        <item x="209"/>
        <item x="174"/>
        <item x="44"/>
        <item x="87"/>
        <item x="350"/>
        <item x="409"/>
        <item x="456"/>
        <item x="40"/>
        <item x="489"/>
        <item x="304"/>
        <item x="254"/>
        <item x="240"/>
        <item x="7"/>
        <item x="406"/>
        <item x="125"/>
        <item x="441"/>
        <item x="421"/>
        <item x="136"/>
        <item x="430"/>
        <item x="479"/>
        <item x="319"/>
        <item x="422"/>
        <item x="84"/>
        <item x="231"/>
        <item x="237"/>
        <item x="261"/>
        <item x="289"/>
        <item x="186"/>
        <item x="235"/>
        <item x="323"/>
        <item x="80"/>
        <item x="252"/>
        <item x="436"/>
        <item x="143"/>
        <item x="452"/>
        <item x="246"/>
        <item x="249"/>
        <item x="361"/>
        <item x="308"/>
        <item x="226"/>
        <item x="401"/>
        <item x="305"/>
        <item x="247"/>
        <item x="400"/>
        <item x="415"/>
        <item x="180"/>
        <item x="476"/>
        <item x="115"/>
        <item x="387"/>
        <item x="411"/>
        <item x="451"/>
        <item x="355"/>
        <item x="151"/>
        <item x="211"/>
        <item x="414"/>
        <item x="27"/>
        <item x="339"/>
        <item x="366"/>
        <item x="59"/>
        <item x="92"/>
        <item x="466"/>
        <item x="111"/>
        <item x="104"/>
        <item x="153"/>
        <item x="233"/>
        <item x="17"/>
        <item x="408"/>
        <item x="320"/>
        <item x="51"/>
        <item x="170"/>
        <item x="396"/>
        <item x="8"/>
        <item x="474"/>
        <item x="402"/>
        <item x="284"/>
        <item x="454"/>
        <item x="399"/>
        <item x="462"/>
        <item x="3"/>
        <item x="294"/>
        <item x="494"/>
        <item x="315"/>
        <item x="428"/>
        <item x="438"/>
        <item x="464"/>
        <item x="21"/>
        <item x="39"/>
        <item x="217"/>
        <item x="126"/>
        <item x="274"/>
        <item x="357"/>
        <item x="63"/>
        <item x="356"/>
        <item x="248"/>
        <item x="484"/>
        <item x="374"/>
        <item x="405"/>
        <item x="268"/>
        <item x="149"/>
        <item x="140"/>
        <item x="392"/>
        <item x="286"/>
        <item x="299"/>
        <item x="410"/>
        <item x="71"/>
        <item x="65"/>
        <item x="363"/>
        <item x="70"/>
        <item t="default"/>
      </items>
    </pivotField>
  </pivotFields>
  <rowFields count="1">
    <field x="5"/>
  </rowFields>
  <rowItems count="4">
    <i>
      <x/>
    </i>
    <i>
      <x v="1"/>
    </i>
    <i>
      <x v="2"/>
    </i>
    <i t="grand">
      <x/>
    </i>
  </rowItems>
  <colItems count="1">
    <i/>
  </colItems>
  <dataFields count="1">
    <dataField name="Sum of Unit_Price" fld="7" baseField="0" baseItem="0"/>
  </dataFields>
  <chartFormats count="8">
    <chartFormat chart="3"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5" count="1" selected="0">
            <x v="0"/>
          </reference>
        </references>
      </pivotArea>
    </chartFormat>
    <chartFormat chart="7" format="7">
      <pivotArea type="data" outline="0" fieldPosition="0">
        <references count="2">
          <reference field="4294967294" count="1" selected="0">
            <x v="0"/>
          </reference>
          <reference field="5" count="1" selected="0">
            <x v="1"/>
          </reference>
        </references>
      </pivotArea>
    </chartFormat>
    <chartFormat chart="7" format="8">
      <pivotArea type="data" outline="0" fieldPosition="0">
        <references count="2">
          <reference field="4294967294" count="1" selected="0">
            <x v="0"/>
          </reference>
          <reference field="5" count="1" selected="0">
            <x v="2"/>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5C8F15-435F-40C3-B2E8-B8A90820E0DF}"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10" firstHeaderRow="0" firstDataRow="1" firstDataCol="1"/>
  <pivotFields count="14">
    <pivotField showAll="0"/>
    <pivotField numFmtId="164" showAll="0"/>
    <pivotField showAll="0"/>
    <pivotField showAll="0"/>
    <pivotField showAll="0"/>
    <pivotField showAll="0"/>
    <pivotField showAll="0"/>
    <pivotField showAll="0"/>
    <pivotField showAll="0"/>
    <pivotField showAll="0"/>
    <pivotField dataField="1" showAll="0"/>
    <pivotField dataField="1" showAll="0"/>
    <pivotField numFmtId="22" showAll="0"/>
    <pivotField axis="axisRow" showAll="0">
      <items count="7">
        <item x="0"/>
        <item x="2"/>
        <item x="4"/>
        <item x="3"/>
        <item x="1"/>
        <item x="5"/>
        <item t="default"/>
      </items>
    </pivotField>
  </pivotFields>
  <rowFields count="1">
    <field x="13"/>
  </rowFields>
  <rowItems count="7">
    <i>
      <x/>
    </i>
    <i>
      <x v="1"/>
    </i>
    <i>
      <x v="2"/>
    </i>
    <i>
      <x v="3"/>
    </i>
    <i>
      <x v="4"/>
    </i>
    <i>
      <x v="5"/>
    </i>
    <i t="grand">
      <x/>
    </i>
  </rowItems>
  <colFields count="1">
    <field x="-2"/>
  </colFields>
  <colItems count="2">
    <i>
      <x/>
    </i>
    <i i="1">
      <x v="1"/>
    </i>
  </colItems>
  <dataFields count="2">
    <dataField name="Sum of Sales_Amount" fld="10" baseField="0" baseItem="0"/>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E82410-2408-4752-83AF-D61CFB25965E}" sourceName="Region">
  <pivotTables>
    <pivotTable tabId="7" name="PivotTable9"/>
    <pivotTable tabId="13" name="PivotTable13"/>
    <pivotTable tabId="8" name="PivotTable10"/>
    <pivotTable tabId="9" name="PivotTable11"/>
    <pivotTable tabId="11" name="PivotTable12"/>
    <pivotTable tabId="6" name="PivotTable8"/>
    <pivotTable tabId="5" name="PivotTable7"/>
  </pivotTables>
  <data>
    <tabular pivotCacheId="2135854905">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13CCA55-0009-45DF-B284-E418B8A3C0A3}" sourceName="Product_Name">
  <pivotTables>
    <pivotTable tabId="7" name="PivotTable9"/>
    <pivotTable tabId="13" name="PivotTable13"/>
    <pivotTable tabId="8" name="PivotTable10"/>
    <pivotTable tabId="9" name="PivotTable11"/>
    <pivotTable tabId="11" name="PivotTable12"/>
    <pivotTable tabId="6" name="PivotTable8"/>
    <pivotTable tabId="5" name="PivotTable7"/>
  </pivotTables>
  <data>
    <tabular pivotCacheId="2135854905">
      <items count="10">
        <i x="3" s="1"/>
        <i x="5" s="1"/>
        <i x="0" s="1"/>
        <i x="4" s="1"/>
        <i x="8" s="1"/>
        <i x="6" s="1"/>
        <i x="1" s="1"/>
        <i x="2" s="1"/>
        <i x="9"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5A05F848-5D9C-4A44-B0F9-F9F33C3BDDD9}" sourceName="Quantity">
  <pivotTables>
    <pivotTable tabId="7" name="PivotTable9"/>
    <pivotTable tabId="13" name="PivotTable13"/>
    <pivotTable tabId="8" name="PivotTable10"/>
    <pivotTable tabId="9" name="PivotTable11"/>
    <pivotTable tabId="11" name="PivotTable12"/>
    <pivotTable tabId="6" name="PivotTable8"/>
    <pivotTable tabId="5" name="PivotTable7"/>
  </pivotTables>
  <data>
    <tabular pivotCacheId="2135854905">
      <items count="5">
        <i x="0" s="1"/>
        <i x="2" s="1"/>
        <i x="3"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A178C65-4D55-4196-B20D-0BF8425530FE}" sourceName="Product_Category">
  <pivotTables>
    <pivotTable tabId="7" name="PivotTable9"/>
    <pivotTable tabId="13" name="PivotTable13"/>
    <pivotTable tabId="8" name="PivotTable10"/>
    <pivotTable tabId="9" name="PivotTable11"/>
    <pivotTable tabId="11" name="PivotTable12"/>
    <pivotTable tabId="6" name="PivotTable8"/>
    <pivotTable tabId="5" name="PivotTable7"/>
  </pivotTables>
  <data>
    <tabular pivotCacheId="2135854905">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A75E54F9-4A35-406C-BCCA-D517ED1E488D}" sourceName="Customer_Name">
  <pivotTables>
    <pivotTable tabId="7" name="PivotTable9"/>
    <pivotTable tabId="13" name="PivotTable13"/>
    <pivotTable tabId="8" name="PivotTable10"/>
    <pivotTable tabId="9" name="PivotTable11"/>
    <pivotTable tabId="11" name="PivotTable12"/>
    <pivotTable tabId="6" name="PivotTable8"/>
    <pivotTable tabId="5" name="PivotTable7"/>
  </pivotTables>
  <data>
    <tabular pivotCacheId="2135854905">
      <items count="12">
        <i x="1" s="1"/>
        <i x="11" s="1"/>
        <i x="10" s="1"/>
        <i x="5" s="1"/>
        <i x="2" s="1"/>
        <i x="9" s="1"/>
        <i x="8" s="1"/>
        <i x="4" s="1"/>
        <i x="0" s="1"/>
        <i x="7" s="1"/>
        <i x="6"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976D24B2-AFF5-4EB0-951A-2E851D02E4CA}" sourceName="Discount">
  <pivotTables>
    <pivotTable tabId="7" name="PivotTable9"/>
    <pivotTable tabId="13" name="PivotTable13"/>
    <pivotTable tabId="8" name="PivotTable10"/>
    <pivotTable tabId="9" name="PivotTable11"/>
    <pivotTable tabId="11" name="PivotTable12"/>
    <pivotTable tabId="6" name="PivotTable8"/>
    <pivotTable tabId="5" name="PivotTable7"/>
  </pivotTables>
  <data>
    <tabular pivotCacheId="2135854905">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2B514A8-24A4-4D38-95B6-1A61CBAC9EFC}" cache="Slicer_Region" caption="Region" rowHeight="234950"/>
  <slicer name="Product_Name 1" xr10:uid="{1BBB0079-7D5C-47D6-8981-7AF42378E825}" cache="Slicer_Product_Name" caption="Product_Name" columnCount="2" rowHeight="234950"/>
  <slicer name="Quantity 1" xr10:uid="{5077036F-F074-42E6-A4EB-A18202BE6FD9}" cache="Slicer_Quantity" caption="Quantity" columnCount="3" rowHeight="234950"/>
  <slicer name="Product_Category 1" xr10:uid="{DF5C1D73-8D63-4D90-AA9D-718B5ED086E5}" cache="Slicer_Product_Category" caption="Product_Category" columnCount="3" rowHeight="234950"/>
  <slicer name="Customer_Name 1" xr10:uid="{8FADC031-E4BC-4260-8633-56F165E11929}" cache="Slicer_Customer_Name" caption="Customer_Name" rowHeight="234950"/>
  <slicer name="Discount 1" xr10:uid="{C844B4D1-EC1E-4EFC-8C97-CAE050E1C9C7}" cache="Slicer_Discount" caption="Discount" startItem="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5B3E70C-03AA-450F-AAC8-950A600C67BE}" cache="Slicer_Region" caption="Region" rowHeight="234950"/>
  <slicer name="Product_Name" xr10:uid="{3F1AB1B5-D755-4956-BF54-1DFF785BFBF7}" cache="Slicer_Product_Name" caption="Product_Name" rowHeight="234950"/>
  <slicer name="Product_Category" xr10:uid="{BB470533-1AAD-4074-A4D4-4A771B75B693}" cache="Slicer_Product_Category" caption="Product_Category" rowHeight="234950"/>
  <slicer name="Customer_Name" xr10:uid="{6A74774B-62FE-43E6-A572-29E5C3FDD282}" cache="Slicer_Customer_Name" caption="Customer_Name" startItem="5" rowHeight="234950"/>
  <slicer name="Discount" xr10:uid="{978E03E8-93D1-4C17-BA3E-C57A628B92FE}" cache="Slicer_Discount" caption="Discount" rowHeight="23495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53DD2-9719-48DE-B842-6472BAF78153}">
  <dimension ref="F7:U16"/>
  <sheetViews>
    <sheetView showGridLines="0" tabSelected="1" topLeftCell="A2" zoomScale="67" zoomScaleNormal="67" workbookViewId="0">
      <selection activeCell="F8" sqref="F8:G11"/>
    </sheetView>
  </sheetViews>
  <sheetFormatPr defaultRowHeight="14.4" x14ac:dyDescent="0.3"/>
  <cols>
    <col min="1" max="6" width="8.88671875" style="10"/>
    <col min="7" max="7" width="8.88671875" style="10" customWidth="1"/>
    <col min="8" max="10" width="8.88671875" style="10"/>
    <col min="11" max="11" width="14.88671875" style="10" bestFit="1" customWidth="1"/>
    <col min="12" max="15" width="8.88671875" style="10"/>
    <col min="16" max="16" width="13" style="10" bestFit="1" customWidth="1"/>
    <col min="17" max="19" width="8.88671875" style="10"/>
    <col min="20" max="20" width="8.88671875" style="10" customWidth="1"/>
    <col min="21" max="16384" width="8.88671875" style="10"/>
  </cols>
  <sheetData>
    <row r="7" spans="6:21" ht="28.8" x14ac:dyDescent="0.55000000000000004">
      <c r="F7" s="44" t="s">
        <v>106</v>
      </c>
      <c r="G7" s="45"/>
      <c r="H7" s="45"/>
      <c r="I7" s="20"/>
      <c r="K7" s="46" t="s">
        <v>11</v>
      </c>
      <c r="L7" s="46"/>
      <c r="M7" s="21"/>
      <c r="N7" s="21"/>
      <c r="P7" s="33" t="s">
        <v>105</v>
      </c>
      <c r="Q7" s="34"/>
      <c r="R7" s="34"/>
      <c r="S7" s="34"/>
      <c r="T7" s="27"/>
      <c r="U7" s="28"/>
    </row>
    <row r="8" spans="6:21" ht="14.4" customHeight="1" x14ac:dyDescent="0.3">
      <c r="F8" s="36">
        <f>GETPIVOTDATA("Sales_Amount",'product vs sales'!$A$3)</f>
        <v>16175150</v>
      </c>
      <c r="G8" s="37"/>
      <c r="H8" s="16"/>
      <c r="I8" s="17"/>
      <c r="K8" s="13"/>
      <c r="L8" s="13"/>
      <c r="M8" s="13"/>
      <c r="N8" s="13"/>
      <c r="P8" s="40">
        <f>GETPIVOTDATA("Sales_Amount",'top customers'!$A$3)</f>
        <v>8405452.5</v>
      </c>
      <c r="Q8" s="41"/>
      <c r="R8" s="41"/>
      <c r="S8" s="41"/>
      <c r="T8" s="29"/>
      <c r="U8" s="30"/>
    </row>
    <row r="9" spans="6:21" ht="23.4" customHeight="1" x14ac:dyDescent="0.45">
      <c r="F9" s="36"/>
      <c r="G9" s="37"/>
      <c r="H9" s="14"/>
      <c r="I9" s="15"/>
      <c r="K9" s="35">
        <f>GETPIVOTDATA("Sum of Profit",'product vs profit'!$A$3)</f>
        <v>3484834.3599999994</v>
      </c>
      <c r="L9" s="35"/>
      <c r="M9" s="13"/>
      <c r="N9" s="13"/>
      <c r="P9" s="40"/>
      <c r="Q9" s="41"/>
      <c r="R9" s="41"/>
      <c r="S9" s="41"/>
      <c r="T9" s="29"/>
      <c r="U9" s="30"/>
    </row>
    <row r="10" spans="6:21" ht="14.4" customHeight="1" x14ac:dyDescent="0.3">
      <c r="F10" s="36"/>
      <c r="G10" s="37"/>
      <c r="H10" s="16"/>
      <c r="I10" s="17"/>
      <c r="K10" s="35"/>
      <c r="L10" s="35"/>
      <c r="M10" s="13"/>
      <c r="N10" s="13"/>
      <c r="P10" s="40"/>
      <c r="Q10" s="41"/>
      <c r="R10" s="41"/>
      <c r="S10" s="41"/>
      <c r="T10" s="29"/>
      <c r="U10" s="30"/>
    </row>
    <row r="11" spans="6:21" ht="14.4" customHeight="1" x14ac:dyDescent="0.3">
      <c r="F11" s="38"/>
      <c r="G11" s="39"/>
      <c r="H11" s="18"/>
      <c r="I11" s="19"/>
      <c r="K11" s="35"/>
      <c r="L11" s="35"/>
      <c r="M11" s="13"/>
      <c r="N11" s="13"/>
      <c r="P11" s="42"/>
      <c r="Q11" s="43"/>
      <c r="R11" s="43"/>
      <c r="S11" s="43"/>
      <c r="T11" s="31"/>
      <c r="U11" s="32"/>
    </row>
    <row r="16" spans="6:21" ht="3" customHeight="1" x14ac:dyDescent="0.3"/>
  </sheetData>
  <mergeCells count="7">
    <mergeCell ref="T7:U11"/>
    <mergeCell ref="P7:S7"/>
    <mergeCell ref="K9:L11"/>
    <mergeCell ref="F8:G11"/>
    <mergeCell ref="P8:S11"/>
    <mergeCell ref="F7:H7"/>
    <mergeCell ref="K7: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4905F-45BB-4BC5-9E08-728689D1F527}">
  <dimension ref="A1:B15"/>
  <sheetViews>
    <sheetView workbookViewId="0">
      <selection activeCell="C7" sqref="C7"/>
    </sheetView>
  </sheetViews>
  <sheetFormatPr defaultRowHeight="14.4" x14ac:dyDescent="0.3"/>
  <cols>
    <col min="1" max="1" width="16.5546875" bestFit="1" customWidth="1"/>
    <col min="2" max="2" width="12" bestFit="1" customWidth="1"/>
  </cols>
  <sheetData>
    <row r="1" spans="1:2" x14ac:dyDescent="0.3">
      <c r="A1" s="47" t="s">
        <v>53</v>
      </c>
      <c r="B1" s="47"/>
    </row>
    <row r="3" spans="1:2" x14ac:dyDescent="0.3">
      <c r="A3" t="s">
        <v>54</v>
      </c>
      <c r="B3">
        <v>12331</v>
      </c>
    </row>
    <row r="4" spans="1:2" x14ac:dyDescent="0.3">
      <c r="A4" t="s">
        <v>55</v>
      </c>
      <c r="B4">
        <v>678.94707913985826</v>
      </c>
    </row>
    <row r="5" spans="1:2" x14ac:dyDescent="0.3">
      <c r="A5" t="s">
        <v>56</v>
      </c>
      <c r="B5">
        <v>7500</v>
      </c>
    </row>
    <row r="6" spans="1:2" x14ac:dyDescent="0.3">
      <c r="A6" t="s">
        <v>57</v>
      </c>
      <c r="B6">
        <v>12000</v>
      </c>
    </row>
    <row r="7" spans="1:2" x14ac:dyDescent="0.3">
      <c r="A7" t="s">
        <v>58</v>
      </c>
      <c r="B7">
        <v>15181.718220816527</v>
      </c>
    </row>
    <row r="8" spans="1:2" x14ac:dyDescent="0.3">
      <c r="A8" t="s">
        <v>59</v>
      </c>
      <c r="B8">
        <v>230484568.13627255</v>
      </c>
    </row>
    <row r="9" spans="1:2" x14ac:dyDescent="0.3">
      <c r="A9" t="s">
        <v>60</v>
      </c>
      <c r="B9">
        <v>2.8263286766974383</v>
      </c>
    </row>
    <row r="10" spans="1:2" x14ac:dyDescent="0.3">
      <c r="A10" t="s">
        <v>61</v>
      </c>
      <c r="B10">
        <v>1.8663660253546026</v>
      </c>
    </row>
    <row r="11" spans="1:2" x14ac:dyDescent="0.3">
      <c r="A11" t="s">
        <v>62</v>
      </c>
      <c r="B11">
        <v>54800</v>
      </c>
    </row>
    <row r="12" spans="1:2" x14ac:dyDescent="0.3">
      <c r="A12" t="s">
        <v>63</v>
      </c>
      <c r="B12">
        <v>200</v>
      </c>
    </row>
    <row r="13" spans="1:2" x14ac:dyDescent="0.3">
      <c r="A13" t="s">
        <v>64</v>
      </c>
      <c r="B13">
        <v>55000</v>
      </c>
    </row>
    <row r="14" spans="1:2" x14ac:dyDescent="0.3">
      <c r="A14" t="s">
        <v>65</v>
      </c>
      <c r="B14">
        <v>6165500</v>
      </c>
    </row>
    <row r="15" spans="1:2" ht="15" thickBot="1" x14ac:dyDescent="0.35">
      <c r="A15" s="3" t="s">
        <v>66</v>
      </c>
      <c r="B15" s="3">
        <v>500</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D3E0-2238-4DEA-A161-168F1FADCB38}">
  <dimension ref="A1:I18"/>
  <sheetViews>
    <sheetView workbookViewId="0">
      <selection activeCell="D6" sqref="D6"/>
    </sheetView>
  </sheetViews>
  <sheetFormatPr defaultRowHeight="14.4" x14ac:dyDescent="0.3"/>
  <sheetData>
    <row r="1" spans="1:9" x14ac:dyDescent="0.3">
      <c r="A1" s="48" t="s">
        <v>67</v>
      </c>
      <c r="B1" s="48"/>
    </row>
    <row r="2" spans="1:9" ht="15" thickBot="1" x14ac:dyDescent="0.35"/>
    <row r="3" spans="1:9" x14ac:dyDescent="0.3">
      <c r="A3" s="5" t="s">
        <v>68</v>
      </c>
      <c r="B3" s="5"/>
    </row>
    <row r="4" spans="1:9" x14ac:dyDescent="0.3">
      <c r="A4" t="s">
        <v>69</v>
      </c>
      <c r="B4">
        <v>0.33108910694147775</v>
      </c>
    </row>
    <row r="5" spans="1:9" x14ac:dyDescent="0.3">
      <c r="A5" t="s">
        <v>70</v>
      </c>
      <c r="B5">
        <v>0.10961999673530529</v>
      </c>
    </row>
    <row r="6" spans="1:9" x14ac:dyDescent="0.3">
      <c r="A6" t="s">
        <v>71</v>
      </c>
      <c r="B6">
        <v>0.10783208508216333</v>
      </c>
    </row>
    <row r="7" spans="1:9" x14ac:dyDescent="0.3">
      <c r="A7" t="s">
        <v>55</v>
      </c>
      <c r="B7">
        <v>43889.906343690622</v>
      </c>
    </row>
    <row r="8" spans="1:9" ht="15" thickBot="1" x14ac:dyDescent="0.35">
      <c r="A8" s="3" t="s">
        <v>72</v>
      </c>
      <c r="B8" s="3">
        <v>500</v>
      </c>
    </row>
    <row r="10" spans="1:9" ht="15" thickBot="1" x14ac:dyDescent="0.35">
      <c r="A10" t="s">
        <v>73</v>
      </c>
    </row>
    <row r="11" spans="1:9" x14ac:dyDescent="0.3">
      <c r="A11" s="4"/>
      <c r="B11" s="4" t="s">
        <v>78</v>
      </c>
      <c r="C11" s="4" t="s">
        <v>79</v>
      </c>
      <c r="D11" s="4" t="s">
        <v>80</v>
      </c>
      <c r="E11" s="4" t="s">
        <v>81</v>
      </c>
      <c r="F11" s="4" t="s">
        <v>82</v>
      </c>
    </row>
    <row r="12" spans="1:9" x14ac:dyDescent="0.3">
      <c r="A12" t="s">
        <v>74</v>
      </c>
      <c r="B12">
        <v>1</v>
      </c>
      <c r="C12">
        <v>118106292858.74524</v>
      </c>
      <c r="D12">
        <v>118106292858.74524</v>
      </c>
      <c r="E12">
        <v>61.311752480983266</v>
      </c>
      <c r="F12">
        <v>2.9556040077139788E-14</v>
      </c>
    </row>
    <row r="13" spans="1:9" x14ac:dyDescent="0.3">
      <c r="A13" t="s">
        <v>75</v>
      </c>
      <c r="B13">
        <v>498</v>
      </c>
      <c r="C13">
        <v>959309291671.2511</v>
      </c>
      <c r="D13">
        <v>1926323878.857934</v>
      </c>
    </row>
    <row r="14" spans="1:9" ht="15" thickBot="1" x14ac:dyDescent="0.35">
      <c r="A14" s="3" t="s">
        <v>76</v>
      </c>
      <c r="B14" s="3">
        <v>499</v>
      </c>
      <c r="C14" s="3">
        <v>1077415584529.9963</v>
      </c>
      <c r="D14" s="3"/>
      <c r="E14" s="3"/>
      <c r="F14" s="3"/>
    </row>
    <row r="15" spans="1:9" ht="15" thickBot="1" x14ac:dyDescent="0.35"/>
    <row r="16" spans="1:9" x14ac:dyDescent="0.3">
      <c r="A16" s="4"/>
      <c r="B16" s="4" t="s">
        <v>83</v>
      </c>
      <c r="C16" s="4" t="s">
        <v>55</v>
      </c>
      <c r="D16" s="4" t="s">
        <v>84</v>
      </c>
      <c r="E16" s="4" t="s">
        <v>85</v>
      </c>
      <c r="F16" s="4" t="s">
        <v>86</v>
      </c>
      <c r="G16" s="4" t="s">
        <v>87</v>
      </c>
      <c r="H16" s="4" t="s">
        <v>88</v>
      </c>
      <c r="I16" s="4" t="s">
        <v>89</v>
      </c>
    </row>
    <row r="17" spans="1:9" x14ac:dyDescent="0.3">
      <c r="A17" t="s">
        <v>77</v>
      </c>
      <c r="B17">
        <v>1263.9434755300972</v>
      </c>
      <c r="C17">
        <v>4428.7795878236666</v>
      </c>
      <c r="D17">
        <v>0.28539317671286685</v>
      </c>
      <c r="E17">
        <v>0.77546159265700965</v>
      </c>
      <c r="F17">
        <v>-7437.4524276368684</v>
      </c>
      <c r="G17">
        <v>9965.3393786970628</v>
      </c>
      <c r="H17">
        <v>-7437.4524276368684</v>
      </c>
      <c r="I17">
        <v>9965.3393786970628</v>
      </c>
    </row>
    <row r="18" spans="1:9" ht="15" thickBot="1" x14ac:dyDescent="0.35">
      <c r="A18" s="3" t="s">
        <v>90</v>
      </c>
      <c r="B18" s="3">
        <v>10682.59674380409</v>
      </c>
      <c r="C18" s="3">
        <v>1364.2845774220436</v>
      </c>
      <c r="D18" s="3">
        <v>7.8301821486466974</v>
      </c>
      <c r="E18" s="3">
        <v>2.9556040077110872E-14</v>
      </c>
      <c r="F18" s="3">
        <v>8002.1336506819443</v>
      </c>
      <c r="G18" s="3">
        <v>13363.059836926235</v>
      </c>
      <c r="H18" s="3">
        <v>8002.1336506819443</v>
      </c>
      <c r="I18" s="3">
        <v>13363.059836926235</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3"/>
  <sheetViews>
    <sheetView topLeftCell="D1" workbookViewId="0">
      <selection activeCell="D6" sqref="D6"/>
    </sheetView>
  </sheetViews>
  <sheetFormatPr defaultRowHeight="14.4" x14ac:dyDescent="0.3"/>
  <cols>
    <col min="2" max="2" width="10.6640625" bestFit="1" customWidth="1"/>
    <col min="4" max="4" width="15.21875" bestFit="1" customWidth="1"/>
    <col min="6" max="6" width="16.33203125" bestFit="1" customWidth="1"/>
    <col min="7" max="7" width="13.77734375" bestFit="1" customWidth="1"/>
    <col min="8" max="8" width="9.6640625" bestFit="1" customWidth="1"/>
    <col min="9" max="9" width="9.33203125" customWidth="1"/>
    <col min="11" max="11" width="32.5546875" bestFit="1" customWidth="1"/>
    <col min="12" max="12" width="30.33203125" bestFit="1" customWidth="1"/>
    <col min="13" max="13" width="15.6640625" bestFit="1" customWidth="1"/>
    <col min="14" max="14" width="23.5546875" bestFit="1" customWidth="1"/>
  </cols>
  <sheetData>
    <row r="1" spans="1:14" x14ac:dyDescent="0.3">
      <c r="A1" s="24" t="s">
        <v>0</v>
      </c>
      <c r="B1" s="24" t="s">
        <v>1</v>
      </c>
      <c r="C1" s="24" t="s">
        <v>2</v>
      </c>
      <c r="D1" s="24" t="s">
        <v>3</v>
      </c>
      <c r="E1" s="24" t="s">
        <v>4</v>
      </c>
      <c r="F1" s="24" t="s">
        <v>5</v>
      </c>
      <c r="G1" s="24" t="s">
        <v>6</v>
      </c>
      <c r="H1" s="24" t="s">
        <v>7</v>
      </c>
      <c r="I1" s="24" t="s">
        <v>8</v>
      </c>
      <c r="J1" s="24" t="s">
        <v>9</v>
      </c>
      <c r="K1" s="24" t="s">
        <v>10</v>
      </c>
      <c r="L1" s="24" t="s">
        <v>11</v>
      </c>
      <c r="M1" s="25" t="s">
        <v>98</v>
      </c>
      <c r="N1" s="26" t="s">
        <v>97</v>
      </c>
    </row>
    <row r="2" spans="1:14" x14ac:dyDescent="0.3">
      <c r="A2" s="1">
        <v>1001</v>
      </c>
      <c r="B2" s="2">
        <v>45301</v>
      </c>
      <c r="C2" s="1" t="s">
        <v>12</v>
      </c>
      <c r="D2" s="1" t="s">
        <v>13</v>
      </c>
      <c r="E2" s="1" t="s">
        <v>14</v>
      </c>
      <c r="F2" s="1" t="s">
        <v>15</v>
      </c>
      <c r="G2" s="1" t="s">
        <v>16</v>
      </c>
      <c r="H2" s="1">
        <v>3000</v>
      </c>
      <c r="I2" s="1">
        <v>1</v>
      </c>
      <c r="J2" s="1">
        <v>0.1</v>
      </c>
      <c r="K2" s="1">
        <v>2700</v>
      </c>
      <c r="L2" s="1">
        <v>656.26</v>
      </c>
      <c r="M2" s="8">
        <f ca="1">NOW()</f>
        <v>46011.04483136574</v>
      </c>
      <c r="N2" s="9" t="str">
        <f>TEXT(B2,"mmm")</f>
        <v>Jan</v>
      </c>
    </row>
    <row r="3" spans="1:14" x14ac:dyDescent="0.3">
      <c r="A3" s="1">
        <v>1002</v>
      </c>
      <c r="B3" s="2">
        <v>45422</v>
      </c>
      <c r="C3" s="1" t="s">
        <v>17</v>
      </c>
      <c r="D3" s="1" t="s">
        <v>18</v>
      </c>
      <c r="E3" s="1" t="s">
        <v>19</v>
      </c>
      <c r="F3" s="1" t="s">
        <v>20</v>
      </c>
      <c r="G3" s="1" t="s">
        <v>21</v>
      </c>
      <c r="H3" s="1">
        <v>200</v>
      </c>
      <c r="I3" s="1">
        <v>5</v>
      </c>
      <c r="J3" s="1">
        <v>0</v>
      </c>
      <c r="K3" s="1">
        <v>1000</v>
      </c>
      <c r="L3" s="1">
        <v>219.31</v>
      </c>
      <c r="M3" s="8">
        <f t="shared" ref="M3:M66" ca="1" si="0">NOW()</f>
        <v>46011.04483136574</v>
      </c>
      <c r="N3" s="9" t="str">
        <f t="shared" ref="N3:N66" si="1">TEXT(B3,"mmm")</f>
        <v>May</v>
      </c>
    </row>
    <row r="4" spans="1:14" x14ac:dyDescent="0.3">
      <c r="A4" s="1">
        <v>1003</v>
      </c>
      <c r="B4" s="2">
        <v>45432</v>
      </c>
      <c r="C4" s="1" t="s">
        <v>22</v>
      </c>
      <c r="D4" s="1" t="s">
        <v>23</v>
      </c>
      <c r="E4" s="1" t="s">
        <v>19</v>
      </c>
      <c r="F4" s="1" t="s">
        <v>20</v>
      </c>
      <c r="G4" s="1" t="s">
        <v>21</v>
      </c>
      <c r="H4" s="1">
        <v>200</v>
      </c>
      <c r="I4" s="1">
        <v>5</v>
      </c>
      <c r="J4" s="1">
        <v>0.1</v>
      </c>
      <c r="K4" s="1">
        <v>900</v>
      </c>
      <c r="L4" s="1">
        <v>162.36000000000001</v>
      </c>
      <c r="M4" s="8">
        <f t="shared" ca="1" si="0"/>
        <v>46011.04483136574</v>
      </c>
      <c r="N4" s="9" t="str">
        <f t="shared" si="1"/>
        <v>May</v>
      </c>
    </row>
    <row r="5" spans="1:14" x14ac:dyDescent="0.3">
      <c r="A5" s="1">
        <v>1004</v>
      </c>
      <c r="B5" s="2">
        <v>45328</v>
      </c>
      <c r="C5" s="1" t="s">
        <v>17</v>
      </c>
      <c r="D5" s="1" t="s">
        <v>18</v>
      </c>
      <c r="E5" s="1" t="s">
        <v>19</v>
      </c>
      <c r="F5" s="1" t="s">
        <v>15</v>
      </c>
      <c r="G5" s="1" t="s">
        <v>24</v>
      </c>
      <c r="H5" s="1">
        <v>22000</v>
      </c>
      <c r="I5" s="1">
        <v>5</v>
      </c>
      <c r="J5" s="1">
        <v>0</v>
      </c>
      <c r="K5" s="1">
        <v>110000</v>
      </c>
      <c r="L5" s="1">
        <v>26492.35</v>
      </c>
      <c r="M5" s="8">
        <f t="shared" ca="1" si="0"/>
        <v>46011.04483136574</v>
      </c>
      <c r="N5" s="9" t="str">
        <f t="shared" si="1"/>
        <v>Feb</v>
      </c>
    </row>
    <row r="6" spans="1:14" x14ac:dyDescent="0.3">
      <c r="A6" s="1">
        <v>1005</v>
      </c>
      <c r="B6" s="2">
        <v>45407</v>
      </c>
      <c r="C6" s="1" t="s">
        <v>25</v>
      </c>
      <c r="D6" s="1" t="s">
        <v>26</v>
      </c>
      <c r="E6" s="1" t="s">
        <v>14</v>
      </c>
      <c r="F6" s="1" t="s">
        <v>20</v>
      </c>
      <c r="G6" s="1" t="s">
        <v>21</v>
      </c>
      <c r="H6" s="1">
        <v>200</v>
      </c>
      <c r="I6" s="1">
        <v>1</v>
      </c>
      <c r="J6" s="1">
        <v>0</v>
      </c>
      <c r="K6" s="1">
        <v>200</v>
      </c>
      <c r="L6" s="1">
        <v>40.380000000000003</v>
      </c>
      <c r="M6" s="8">
        <f t="shared" ca="1" si="0"/>
        <v>46011.04483136574</v>
      </c>
      <c r="N6" s="9" t="str">
        <f t="shared" si="1"/>
        <v>Apr</v>
      </c>
    </row>
    <row r="7" spans="1:14" x14ac:dyDescent="0.3">
      <c r="A7" s="1">
        <v>1006</v>
      </c>
      <c r="B7" s="2">
        <v>45327</v>
      </c>
      <c r="C7" s="1" t="s">
        <v>27</v>
      </c>
      <c r="D7" s="1" t="s">
        <v>28</v>
      </c>
      <c r="E7" s="1" t="s">
        <v>29</v>
      </c>
      <c r="F7" s="1" t="s">
        <v>15</v>
      </c>
      <c r="G7" s="1" t="s">
        <v>16</v>
      </c>
      <c r="H7" s="1">
        <v>3000</v>
      </c>
      <c r="I7" s="1">
        <v>2</v>
      </c>
      <c r="J7" s="1">
        <v>0</v>
      </c>
      <c r="K7" s="1">
        <v>6000</v>
      </c>
      <c r="L7" s="1">
        <v>1747.6</v>
      </c>
      <c r="M7" s="8">
        <f t="shared" ca="1" si="0"/>
        <v>46011.04483136574</v>
      </c>
      <c r="N7" s="9" t="str">
        <f t="shared" si="1"/>
        <v>Feb</v>
      </c>
    </row>
    <row r="8" spans="1:14" x14ac:dyDescent="0.3">
      <c r="A8" s="1">
        <v>1007</v>
      </c>
      <c r="B8" s="2">
        <v>45293</v>
      </c>
      <c r="C8" s="1" t="s">
        <v>30</v>
      </c>
      <c r="D8" s="1" t="s">
        <v>31</v>
      </c>
      <c r="E8" s="1" t="s">
        <v>32</v>
      </c>
      <c r="F8" s="1" t="s">
        <v>33</v>
      </c>
      <c r="G8" s="1" t="s">
        <v>34</v>
      </c>
      <c r="H8" s="1">
        <v>9500</v>
      </c>
      <c r="I8" s="1">
        <v>2</v>
      </c>
      <c r="J8" s="1">
        <v>0.05</v>
      </c>
      <c r="K8" s="1">
        <v>18050</v>
      </c>
      <c r="L8" s="1">
        <v>5975.86</v>
      </c>
      <c r="M8" s="8">
        <f t="shared" ca="1" si="0"/>
        <v>46011.04483136574</v>
      </c>
      <c r="N8" s="9" t="str">
        <f t="shared" si="1"/>
        <v>Jan</v>
      </c>
    </row>
    <row r="9" spans="1:14" x14ac:dyDescent="0.3">
      <c r="A9" s="1">
        <v>1008</v>
      </c>
      <c r="B9" s="2">
        <v>45343</v>
      </c>
      <c r="C9" s="1" t="s">
        <v>12</v>
      </c>
      <c r="D9" s="1" t="s">
        <v>13</v>
      </c>
      <c r="E9" s="1" t="s">
        <v>29</v>
      </c>
      <c r="F9" s="1" t="s">
        <v>15</v>
      </c>
      <c r="G9" s="1" t="s">
        <v>24</v>
      </c>
      <c r="H9" s="1">
        <v>22000</v>
      </c>
      <c r="I9" s="1">
        <v>2</v>
      </c>
      <c r="J9" s="1">
        <v>0.15</v>
      </c>
      <c r="K9" s="1">
        <v>37400</v>
      </c>
      <c r="L9" s="1">
        <v>12614.18</v>
      </c>
      <c r="M9" s="8">
        <f t="shared" ca="1" si="0"/>
        <v>46011.04483136574</v>
      </c>
      <c r="N9" s="9" t="str">
        <f t="shared" si="1"/>
        <v>Feb</v>
      </c>
    </row>
    <row r="10" spans="1:14" x14ac:dyDescent="0.3">
      <c r="A10" s="1">
        <v>1009</v>
      </c>
      <c r="B10" s="2">
        <v>45299</v>
      </c>
      <c r="C10" s="1" t="s">
        <v>12</v>
      </c>
      <c r="D10" s="1" t="s">
        <v>13</v>
      </c>
      <c r="E10" s="1" t="s">
        <v>29</v>
      </c>
      <c r="F10" s="1" t="s">
        <v>15</v>
      </c>
      <c r="G10" s="1" t="s">
        <v>35</v>
      </c>
      <c r="H10" s="1">
        <v>55000</v>
      </c>
      <c r="I10" s="1">
        <v>2</v>
      </c>
      <c r="J10" s="1">
        <v>0.15</v>
      </c>
      <c r="K10" s="1">
        <v>93500</v>
      </c>
      <c r="L10" s="1">
        <v>23929.83</v>
      </c>
      <c r="M10" s="8">
        <f t="shared" ca="1" si="0"/>
        <v>46011.04483136574</v>
      </c>
      <c r="N10" s="9" t="str">
        <f t="shared" si="1"/>
        <v>Jan</v>
      </c>
    </row>
    <row r="11" spans="1:14" x14ac:dyDescent="0.3">
      <c r="A11" s="1">
        <v>1010</v>
      </c>
      <c r="B11" s="2">
        <v>45313</v>
      </c>
      <c r="C11" s="1" t="s">
        <v>36</v>
      </c>
      <c r="D11" s="1" t="s">
        <v>37</v>
      </c>
      <c r="E11" s="1" t="s">
        <v>19</v>
      </c>
      <c r="F11" s="1" t="s">
        <v>20</v>
      </c>
      <c r="G11" s="1" t="s">
        <v>38</v>
      </c>
      <c r="H11" s="1">
        <v>350</v>
      </c>
      <c r="I11" s="1">
        <v>5</v>
      </c>
      <c r="J11" s="1">
        <v>0.05</v>
      </c>
      <c r="K11" s="1">
        <v>1662.5</v>
      </c>
      <c r="L11" s="1">
        <v>537.61</v>
      </c>
      <c r="M11" s="8">
        <f t="shared" ca="1" si="0"/>
        <v>46011.04483136574</v>
      </c>
      <c r="N11" s="9" t="str">
        <f t="shared" si="1"/>
        <v>Jan</v>
      </c>
    </row>
    <row r="12" spans="1:14" x14ac:dyDescent="0.3">
      <c r="A12" s="1">
        <v>1011</v>
      </c>
      <c r="B12" s="2">
        <v>45375</v>
      </c>
      <c r="C12" s="1" t="s">
        <v>12</v>
      </c>
      <c r="D12" s="1" t="s">
        <v>13</v>
      </c>
      <c r="E12" s="1" t="s">
        <v>32</v>
      </c>
      <c r="F12" s="1" t="s">
        <v>20</v>
      </c>
      <c r="G12" s="1" t="s">
        <v>38</v>
      </c>
      <c r="H12" s="1">
        <v>350</v>
      </c>
      <c r="I12" s="1">
        <v>1</v>
      </c>
      <c r="J12" s="1">
        <v>0</v>
      </c>
      <c r="K12" s="1">
        <v>350</v>
      </c>
      <c r="L12" s="1">
        <v>53.2</v>
      </c>
      <c r="M12" s="8">
        <f t="shared" ca="1" si="0"/>
        <v>46011.04483136574</v>
      </c>
      <c r="N12" s="9" t="str">
        <f t="shared" si="1"/>
        <v>Mar</v>
      </c>
    </row>
    <row r="13" spans="1:14" x14ac:dyDescent="0.3">
      <c r="A13" s="1">
        <v>1012</v>
      </c>
      <c r="B13" s="2">
        <v>45430</v>
      </c>
      <c r="C13" s="1" t="s">
        <v>39</v>
      </c>
      <c r="D13" s="1" t="s">
        <v>40</v>
      </c>
      <c r="E13" s="1" t="s">
        <v>14</v>
      </c>
      <c r="F13" s="1" t="s">
        <v>33</v>
      </c>
      <c r="G13" s="1" t="s">
        <v>34</v>
      </c>
      <c r="H13" s="1">
        <v>9500</v>
      </c>
      <c r="I13" s="1">
        <v>5</v>
      </c>
      <c r="J13" s="1">
        <v>0.15</v>
      </c>
      <c r="K13" s="1">
        <v>40375</v>
      </c>
      <c r="L13" s="1">
        <v>9799.0300000000007</v>
      </c>
      <c r="M13" s="8">
        <f t="shared" ca="1" si="0"/>
        <v>46011.04483136574</v>
      </c>
      <c r="N13" s="9" t="str">
        <f t="shared" si="1"/>
        <v>May</v>
      </c>
    </row>
    <row r="14" spans="1:14" x14ac:dyDescent="0.3">
      <c r="A14" s="1">
        <v>1013</v>
      </c>
      <c r="B14" s="2">
        <v>45354</v>
      </c>
      <c r="C14" s="1" t="s">
        <v>41</v>
      </c>
      <c r="D14" s="1" t="s">
        <v>42</v>
      </c>
      <c r="E14" s="1" t="s">
        <v>29</v>
      </c>
      <c r="F14" s="1" t="s">
        <v>20</v>
      </c>
      <c r="G14" s="1" t="s">
        <v>21</v>
      </c>
      <c r="H14" s="1">
        <v>200</v>
      </c>
      <c r="I14" s="1">
        <v>3</v>
      </c>
      <c r="J14" s="1">
        <v>0.1</v>
      </c>
      <c r="K14" s="1">
        <v>540</v>
      </c>
      <c r="L14" s="1">
        <v>112.78</v>
      </c>
      <c r="M14" s="8">
        <f t="shared" ca="1" si="0"/>
        <v>46011.04483136574</v>
      </c>
      <c r="N14" s="9" t="str">
        <f t="shared" si="1"/>
        <v>Mar</v>
      </c>
    </row>
    <row r="15" spans="1:14" x14ac:dyDescent="0.3">
      <c r="A15" s="1">
        <v>1014</v>
      </c>
      <c r="B15" s="2">
        <v>45344</v>
      </c>
      <c r="C15" s="1" t="s">
        <v>25</v>
      </c>
      <c r="D15" s="1" t="s">
        <v>26</v>
      </c>
      <c r="E15" s="1" t="s">
        <v>14</v>
      </c>
      <c r="F15" s="1" t="s">
        <v>20</v>
      </c>
      <c r="G15" s="1" t="s">
        <v>38</v>
      </c>
      <c r="H15" s="1">
        <v>350</v>
      </c>
      <c r="I15" s="1">
        <v>1</v>
      </c>
      <c r="J15" s="1">
        <v>0.15</v>
      </c>
      <c r="K15" s="1">
        <v>297.5</v>
      </c>
      <c r="L15" s="1">
        <v>52.94</v>
      </c>
      <c r="M15" s="8">
        <f t="shared" ca="1" si="0"/>
        <v>46011.04483136574</v>
      </c>
      <c r="N15" s="9" t="str">
        <f t="shared" si="1"/>
        <v>Feb</v>
      </c>
    </row>
    <row r="16" spans="1:14" x14ac:dyDescent="0.3">
      <c r="A16" s="1">
        <v>1015</v>
      </c>
      <c r="B16" s="2">
        <v>45440</v>
      </c>
      <c r="C16" s="1" t="s">
        <v>12</v>
      </c>
      <c r="D16" s="1" t="s">
        <v>13</v>
      </c>
      <c r="E16" s="1" t="s">
        <v>14</v>
      </c>
      <c r="F16" s="1" t="s">
        <v>33</v>
      </c>
      <c r="G16" s="1" t="s">
        <v>43</v>
      </c>
      <c r="H16" s="1">
        <v>7500</v>
      </c>
      <c r="I16" s="1">
        <v>3</v>
      </c>
      <c r="J16" s="1">
        <v>0.05</v>
      </c>
      <c r="K16" s="1">
        <v>21375</v>
      </c>
      <c r="L16" s="1">
        <v>6436.55</v>
      </c>
      <c r="M16" s="8">
        <f t="shared" ca="1" si="0"/>
        <v>46011.04483136574</v>
      </c>
      <c r="N16" s="9" t="str">
        <f t="shared" si="1"/>
        <v>May</v>
      </c>
    </row>
    <row r="17" spans="1:14" x14ac:dyDescent="0.3">
      <c r="A17" s="1">
        <v>1016</v>
      </c>
      <c r="B17" s="2">
        <v>45313</v>
      </c>
      <c r="C17" s="1" t="s">
        <v>27</v>
      </c>
      <c r="D17" s="1" t="s">
        <v>28</v>
      </c>
      <c r="E17" s="1" t="s">
        <v>29</v>
      </c>
      <c r="F17" s="1" t="s">
        <v>20</v>
      </c>
      <c r="G17" s="1" t="s">
        <v>38</v>
      </c>
      <c r="H17" s="1">
        <v>350</v>
      </c>
      <c r="I17" s="1">
        <v>4</v>
      </c>
      <c r="J17" s="1">
        <v>0.1</v>
      </c>
      <c r="K17" s="1">
        <v>1260</v>
      </c>
      <c r="L17" s="1">
        <v>189.91</v>
      </c>
      <c r="M17" s="8">
        <f t="shared" ca="1" si="0"/>
        <v>46011.04483136574</v>
      </c>
      <c r="N17" s="9" t="str">
        <f t="shared" si="1"/>
        <v>Jan</v>
      </c>
    </row>
    <row r="18" spans="1:14" x14ac:dyDescent="0.3">
      <c r="A18" s="1">
        <v>1017</v>
      </c>
      <c r="B18" s="2">
        <v>45397</v>
      </c>
      <c r="C18" s="1" t="s">
        <v>25</v>
      </c>
      <c r="D18" s="1" t="s">
        <v>26</v>
      </c>
      <c r="E18" s="1" t="s">
        <v>32</v>
      </c>
      <c r="F18" s="1" t="s">
        <v>15</v>
      </c>
      <c r="G18" s="1" t="s">
        <v>44</v>
      </c>
      <c r="H18" s="1">
        <v>18000</v>
      </c>
      <c r="I18" s="1">
        <v>1</v>
      </c>
      <c r="J18" s="1">
        <v>0.15</v>
      </c>
      <c r="K18" s="1">
        <v>15300</v>
      </c>
      <c r="L18" s="1">
        <v>3904.64</v>
      </c>
      <c r="M18" s="8">
        <f t="shared" ca="1" si="0"/>
        <v>46011.04483136574</v>
      </c>
      <c r="N18" s="9" t="str">
        <f t="shared" si="1"/>
        <v>Apr</v>
      </c>
    </row>
    <row r="19" spans="1:14" x14ac:dyDescent="0.3">
      <c r="A19" s="1">
        <v>1018</v>
      </c>
      <c r="B19" s="2">
        <v>45465</v>
      </c>
      <c r="C19" s="1" t="s">
        <v>22</v>
      </c>
      <c r="D19" s="1" t="s">
        <v>23</v>
      </c>
      <c r="E19" s="1" t="s">
        <v>19</v>
      </c>
      <c r="F19" s="1" t="s">
        <v>15</v>
      </c>
      <c r="G19" s="1" t="s">
        <v>24</v>
      </c>
      <c r="H19" s="1">
        <v>22000</v>
      </c>
      <c r="I19" s="1">
        <v>5</v>
      </c>
      <c r="J19" s="1">
        <v>0</v>
      </c>
      <c r="K19" s="1">
        <v>110000</v>
      </c>
      <c r="L19" s="1">
        <v>22753</v>
      </c>
      <c r="M19" s="8">
        <f t="shared" ca="1" si="0"/>
        <v>46011.04483136574</v>
      </c>
      <c r="N19" s="9" t="str">
        <f t="shared" si="1"/>
        <v>Jun</v>
      </c>
    </row>
    <row r="20" spans="1:14" x14ac:dyDescent="0.3">
      <c r="A20" s="1">
        <v>1019</v>
      </c>
      <c r="B20" s="2">
        <v>45357</v>
      </c>
      <c r="C20" s="1" t="s">
        <v>25</v>
      </c>
      <c r="D20" s="1" t="s">
        <v>26</v>
      </c>
      <c r="E20" s="1" t="s">
        <v>19</v>
      </c>
      <c r="F20" s="1" t="s">
        <v>20</v>
      </c>
      <c r="G20" s="1" t="s">
        <v>45</v>
      </c>
      <c r="H20" s="1">
        <v>500</v>
      </c>
      <c r="I20" s="1">
        <v>4</v>
      </c>
      <c r="J20" s="1">
        <v>0.05</v>
      </c>
      <c r="K20" s="1">
        <v>1900</v>
      </c>
      <c r="L20" s="1">
        <v>473.06</v>
      </c>
      <c r="M20" s="8">
        <f t="shared" ca="1" si="0"/>
        <v>46011.04483136574</v>
      </c>
      <c r="N20" s="9" t="str">
        <f t="shared" si="1"/>
        <v>Mar</v>
      </c>
    </row>
    <row r="21" spans="1:14" x14ac:dyDescent="0.3">
      <c r="A21" s="1">
        <v>1020</v>
      </c>
      <c r="B21" s="2">
        <v>45329</v>
      </c>
      <c r="C21" s="1" t="s">
        <v>17</v>
      </c>
      <c r="D21" s="1" t="s">
        <v>18</v>
      </c>
      <c r="E21" s="1" t="s">
        <v>19</v>
      </c>
      <c r="F21" s="1" t="s">
        <v>33</v>
      </c>
      <c r="G21" s="1" t="s">
        <v>43</v>
      </c>
      <c r="H21" s="1">
        <v>7500</v>
      </c>
      <c r="I21" s="1">
        <v>2</v>
      </c>
      <c r="J21" s="1">
        <v>0.15</v>
      </c>
      <c r="K21" s="1">
        <v>12750</v>
      </c>
      <c r="L21" s="1">
        <v>4404.8900000000003</v>
      </c>
      <c r="M21" s="8">
        <f t="shared" ca="1" si="0"/>
        <v>46011.04483136574</v>
      </c>
      <c r="N21" s="9" t="str">
        <f t="shared" si="1"/>
        <v>Feb</v>
      </c>
    </row>
    <row r="22" spans="1:14" x14ac:dyDescent="0.3">
      <c r="A22" s="1">
        <v>1021</v>
      </c>
      <c r="B22" s="2">
        <v>45424</v>
      </c>
      <c r="C22" s="1" t="s">
        <v>27</v>
      </c>
      <c r="D22" s="1" t="s">
        <v>28</v>
      </c>
      <c r="E22" s="1" t="s">
        <v>14</v>
      </c>
      <c r="F22" s="1" t="s">
        <v>20</v>
      </c>
      <c r="G22" s="1" t="s">
        <v>45</v>
      </c>
      <c r="H22" s="1">
        <v>500</v>
      </c>
      <c r="I22" s="1">
        <v>1</v>
      </c>
      <c r="J22" s="1">
        <v>0.1</v>
      </c>
      <c r="K22" s="1">
        <v>450</v>
      </c>
      <c r="L22" s="1">
        <v>102.93</v>
      </c>
      <c r="M22" s="8">
        <f t="shared" ca="1" si="0"/>
        <v>46011.04483136574</v>
      </c>
      <c r="N22" s="9" t="str">
        <f t="shared" si="1"/>
        <v>May</v>
      </c>
    </row>
    <row r="23" spans="1:14" x14ac:dyDescent="0.3">
      <c r="A23" s="1">
        <v>1022</v>
      </c>
      <c r="B23" s="2">
        <v>45356</v>
      </c>
      <c r="C23" s="1" t="s">
        <v>36</v>
      </c>
      <c r="D23" s="1" t="s">
        <v>37</v>
      </c>
      <c r="E23" s="1" t="s">
        <v>32</v>
      </c>
      <c r="F23" s="1" t="s">
        <v>15</v>
      </c>
      <c r="G23" s="1" t="s">
        <v>24</v>
      </c>
      <c r="H23" s="1">
        <v>22000</v>
      </c>
      <c r="I23" s="1">
        <v>5</v>
      </c>
      <c r="J23" s="1">
        <v>0.05</v>
      </c>
      <c r="K23" s="1">
        <v>104500</v>
      </c>
      <c r="L23" s="1">
        <v>29530.76</v>
      </c>
      <c r="M23" s="8">
        <f t="shared" ca="1" si="0"/>
        <v>46011.04483136574</v>
      </c>
      <c r="N23" s="9" t="str">
        <f t="shared" si="1"/>
        <v>Mar</v>
      </c>
    </row>
    <row r="24" spans="1:14" x14ac:dyDescent="0.3">
      <c r="A24" s="1">
        <v>1023</v>
      </c>
      <c r="B24" s="2">
        <v>45437</v>
      </c>
      <c r="C24" s="1" t="s">
        <v>12</v>
      </c>
      <c r="D24" s="1" t="s">
        <v>13</v>
      </c>
      <c r="E24" s="1" t="s">
        <v>32</v>
      </c>
      <c r="F24" s="1" t="s">
        <v>20</v>
      </c>
      <c r="G24" s="1" t="s">
        <v>21</v>
      </c>
      <c r="H24" s="1">
        <v>200</v>
      </c>
      <c r="I24" s="1">
        <v>4</v>
      </c>
      <c r="J24" s="1">
        <v>0</v>
      </c>
      <c r="K24" s="1">
        <v>800</v>
      </c>
      <c r="L24" s="1">
        <v>225.45</v>
      </c>
      <c r="M24" s="8">
        <f t="shared" ca="1" si="0"/>
        <v>46011.04483136574</v>
      </c>
      <c r="N24" s="9" t="str">
        <f t="shared" si="1"/>
        <v>May</v>
      </c>
    </row>
    <row r="25" spans="1:14" x14ac:dyDescent="0.3">
      <c r="A25" s="1">
        <v>1024</v>
      </c>
      <c r="B25" s="2">
        <v>45325</v>
      </c>
      <c r="C25" s="1" t="s">
        <v>36</v>
      </c>
      <c r="D25" s="1" t="s">
        <v>37</v>
      </c>
      <c r="E25" s="1" t="s">
        <v>19</v>
      </c>
      <c r="F25" s="1" t="s">
        <v>20</v>
      </c>
      <c r="G25" s="1" t="s">
        <v>21</v>
      </c>
      <c r="H25" s="1">
        <v>200</v>
      </c>
      <c r="I25" s="1">
        <v>2</v>
      </c>
      <c r="J25" s="1">
        <v>0.05</v>
      </c>
      <c r="K25" s="1">
        <v>380</v>
      </c>
      <c r="L25" s="1">
        <v>77.28</v>
      </c>
      <c r="M25" s="8">
        <f t="shared" ca="1" si="0"/>
        <v>46011.04483136574</v>
      </c>
      <c r="N25" s="9" t="str">
        <f t="shared" si="1"/>
        <v>Feb</v>
      </c>
    </row>
    <row r="26" spans="1:14" x14ac:dyDescent="0.3">
      <c r="A26" s="1">
        <v>1025</v>
      </c>
      <c r="B26" s="2">
        <v>45458</v>
      </c>
      <c r="C26" s="1" t="s">
        <v>46</v>
      </c>
      <c r="D26" s="1" t="s">
        <v>47</v>
      </c>
      <c r="E26" s="1" t="s">
        <v>19</v>
      </c>
      <c r="F26" s="1" t="s">
        <v>20</v>
      </c>
      <c r="G26" s="1" t="s">
        <v>38</v>
      </c>
      <c r="H26" s="1">
        <v>350</v>
      </c>
      <c r="I26" s="1">
        <v>3</v>
      </c>
      <c r="J26" s="1">
        <v>0</v>
      </c>
      <c r="K26" s="1">
        <v>1050</v>
      </c>
      <c r="L26" s="1">
        <v>233.66</v>
      </c>
      <c r="M26" s="8">
        <f t="shared" ca="1" si="0"/>
        <v>46011.04483136574</v>
      </c>
      <c r="N26" s="9" t="str">
        <f t="shared" si="1"/>
        <v>Jun</v>
      </c>
    </row>
    <row r="27" spans="1:14" x14ac:dyDescent="0.3">
      <c r="A27" s="1">
        <v>1026</v>
      </c>
      <c r="B27" s="2">
        <v>45365</v>
      </c>
      <c r="C27" s="1" t="s">
        <v>17</v>
      </c>
      <c r="D27" s="1" t="s">
        <v>18</v>
      </c>
      <c r="E27" s="1" t="s">
        <v>19</v>
      </c>
      <c r="F27" s="1" t="s">
        <v>20</v>
      </c>
      <c r="G27" s="1" t="s">
        <v>38</v>
      </c>
      <c r="H27" s="1">
        <v>350</v>
      </c>
      <c r="I27" s="1">
        <v>1</v>
      </c>
      <c r="J27" s="1">
        <v>0.15</v>
      </c>
      <c r="K27" s="1">
        <v>297.5</v>
      </c>
      <c r="L27" s="1">
        <v>90.84</v>
      </c>
      <c r="M27" s="8">
        <f t="shared" ca="1" si="0"/>
        <v>46011.04483136574</v>
      </c>
      <c r="N27" s="9" t="str">
        <f t="shared" si="1"/>
        <v>Mar</v>
      </c>
    </row>
    <row r="28" spans="1:14" x14ac:dyDescent="0.3">
      <c r="A28" s="1">
        <v>1027</v>
      </c>
      <c r="B28" s="2">
        <v>45311</v>
      </c>
      <c r="C28" s="1" t="s">
        <v>25</v>
      </c>
      <c r="D28" s="1" t="s">
        <v>26</v>
      </c>
      <c r="E28" s="1" t="s">
        <v>19</v>
      </c>
      <c r="F28" s="1" t="s">
        <v>33</v>
      </c>
      <c r="G28" s="1" t="s">
        <v>34</v>
      </c>
      <c r="H28" s="1">
        <v>9500</v>
      </c>
      <c r="I28" s="1">
        <v>5</v>
      </c>
      <c r="J28" s="1">
        <v>0.15</v>
      </c>
      <c r="K28" s="1">
        <v>40375</v>
      </c>
      <c r="L28" s="1">
        <v>8212.7000000000007</v>
      </c>
      <c r="M28" s="8">
        <f t="shared" ca="1" si="0"/>
        <v>46011.04483136574</v>
      </c>
      <c r="N28" s="9" t="str">
        <f t="shared" si="1"/>
        <v>Jan</v>
      </c>
    </row>
    <row r="29" spans="1:14" x14ac:dyDescent="0.3">
      <c r="A29" s="1">
        <v>1028</v>
      </c>
      <c r="B29" s="2">
        <v>45362</v>
      </c>
      <c r="C29" s="1" t="s">
        <v>25</v>
      </c>
      <c r="D29" s="1" t="s">
        <v>26</v>
      </c>
      <c r="E29" s="1" t="s">
        <v>19</v>
      </c>
      <c r="F29" s="1" t="s">
        <v>15</v>
      </c>
      <c r="G29" s="1" t="s">
        <v>35</v>
      </c>
      <c r="H29" s="1">
        <v>55000</v>
      </c>
      <c r="I29" s="1">
        <v>2</v>
      </c>
      <c r="J29" s="1">
        <v>0.15</v>
      </c>
      <c r="K29" s="1">
        <v>93500</v>
      </c>
      <c r="L29" s="1">
        <v>19639.66</v>
      </c>
      <c r="M29" s="8">
        <f t="shared" ca="1" si="0"/>
        <v>46011.04483136574</v>
      </c>
      <c r="N29" s="9" t="str">
        <f t="shared" si="1"/>
        <v>Mar</v>
      </c>
    </row>
    <row r="30" spans="1:14" x14ac:dyDescent="0.3">
      <c r="A30" s="1">
        <v>1029</v>
      </c>
      <c r="B30" s="2">
        <v>45350</v>
      </c>
      <c r="C30" s="1" t="s">
        <v>36</v>
      </c>
      <c r="D30" s="1" t="s">
        <v>37</v>
      </c>
      <c r="E30" s="1" t="s">
        <v>19</v>
      </c>
      <c r="F30" s="1" t="s">
        <v>15</v>
      </c>
      <c r="G30" s="1" t="s">
        <v>24</v>
      </c>
      <c r="H30" s="1">
        <v>22000</v>
      </c>
      <c r="I30" s="1">
        <v>2</v>
      </c>
      <c r="J30" s="1">
        <v>0.05</v>
      </c>
      <c r="K30" s="1">
        <v>41800</v>
      </c>
      <c r="L30" s="1">
        <v>7616.52</v>
      </c>
      <c r="M30" s="8">
        <f t="shared" ca="1" si="0"/>
        <v>46011.04483136574</v>
      </c>
      <c r="N30" s="9" t="str">
        <f t="shared" si="1"/>
        <v>Feb</v>
      </c>
    </row>
    <row r="31" spans="1:14" x14ac:dyDescent="0.3">
      <c r="A31" s="1">
        <v>1030</v>
      </c>
      <c r="B31" s="2">
        <v>45466</v>
      </c>
      <c r="C31" s="1" t="s">
        <v>36</v>
      </c>
      <c r="D31" s="1" t="s">
        <v>37</v>
      </c>
      <c r="E31" s="1" t="s">
        <v>32</v>
      </c>
      <c r="F31" s="1" t="s">
        <v>20</v>
      </c>
      <c r="G31" s="1" t="s">
        <v>38</v>
      </c>
      <c r="H31" s="1">
        <v>350</v>
      </c>
      <c r="I31" s="1">
        <v>2</v>
      </c>
      <c r="J31" s="1">
        <v>0.1</v>
      </c>
      <c r="K31" s="1">
        <v>630</v>
      </c>
      <c r="L31" s="1">
        <v>200.36</v>
      </c>
      <c r="M31" s="8">
        <f t="shared" ca="1" si="0"/>
        <v>46011.04483136574</v>
      </c>
      <c r="N31" s="9" t="str">
        <f t="shared" si="1"/>
        <v>Jun</v>
      </c>
    </row>
    <row r="32" spans="1:14" x14ac:dyDescent="0.3">
      <c r="A32" s="1">
        <v>1031</v>
      </c>
      <c r="B32" s="2">
        <v>45357</v>
      </c>
      <c r="C32" s="1" t="s">
        <v>48</v>
      </c>
      <c r="D32" s="1" t="s">
        <v>49</v>
      </c>
      <c r="E32" s="1" t="s">
        <v>32</v>
      </c>
      <c r="F32" s="1" t="s">
        <v>33</v>
      </c>
      <c r="G32" s="1" t="s">
        <v>34</v>
      </c>
      <c r="H32" s="1">
        <v>9500</v>
      </c>
      <c r="I32" s="1">
        <v>2</v>
      </c>
      <c r="J32" s="1">
        <v>0.1</v>
      </c>
      <c r="K32" s="1">
        <v>17100</v>
      </c>
      <c r="L32" s="1">
        <v>2983.59</v>
      </c>
      <c r="M32" s="8">
        <f t="shared" ca="1" si="0"/>
        <v>46011.04483136574</v>
      </c>
      <c r="N32" s="9" t="str">
        <f t="shared" si="1"/>
        <v>Mar</v>
      </c>
    </row>
    <row r="33" spans="1:14" x14ac:dyDescent="0.3">
      <c r="A33" s="1">
        <v>1032</v>
      </c>
      <c r="B33" s="2">
        <v>45326</v>
      </c>
      <c r="C33" s="1" t="s">
        <v>41</v>
      </c>
      <c r="D33" s="1" t="s">
        <v>42</v>
      </c>
      <c r="E33" s="1" t="s">
        <v>29</v>
      </c>
      <c r="F33" s="1" t="s">
        <v>20</v>
      </c>
      <c r="G33" s="1" t="s">
        <v>45</v>
      </c>
      <c r="H33" s="1">
        <v>500</v>
      </c>
      <c r="I33" s="1">
        <v>4</v>
      </c>
      <c r="J33" s="1">
        <v>0.15</v>
      </c>
      <c r="K33" s="1">
        <v>1700</v>
      </c>
      <c r="L33" s="1">
        <v>527.47</v>
      </c>
      <c r="M33" s="8">
        <f t="shared" ca="1" si="0"/>
        <v>46011.04483136574</v>
      </c>
      <c r="N33" s="9" t="str">
        <f t="shared" si="1"/>
        <v>Feb</v>
      </c>
    </row>
    <row r="34" spans="1:14" x14ac:dyDescent="0.3">
      <c r="A34" s="1">
        <v>1033</v>
      </c>
      <c r="B34" s="2">
        <v>45455</v>
      </c>
      <c r="C34" s="1" t="s">
        <v>12</v>
      </c>
      <c r="D34" s="1" t="s">
        <v>13</v>
      </c>
      <c r="E34" s="1" t="s">
        <v>14</v>
      </c>
      <c r="F34" s="1" t="s">
        <v>20</v>
      </c>
      <c r="G34" s="1" t="s">
        <v>21</v>
      </c>
      <c r="H34" s="1">
        <v>200</v>
      </c>
      <c r="I34" s="1">
        <v>2</v>
      </c>
      <c r="J34" s="1">
        <v>0.05</v>
      </c>
      <c r="K34" s="1">
        <v>380</v>
      </c>
      <c r="L34" s="1">
        <v>86.39</v>
      </c>
      <c r="M34" s="8">
        <f t="shared" ca="1" si="0"/>
        <v>46011.04483136574</v>
      </c>
      <c r="N34" s="9" t="str">
        <f t="shared" si="1"/>
        <v>Jun</v>
      </c>
    </row>
    <row r="35" spans="1:14" x14ac:dyDescent="0.3">
      <c r="A35" s="1">
        <v>1034</v>
      </c>
      <c r="B35" s="2">
        <v>45304</v>
      </c>
      <c r="C35" s="1" t="s">
        <v>46</v>
      </c>
      <c r="D35" s="1" t="s">
        <v>47</v>
      </c>
      <c r="E35" s="1" t="s">
        <v>29</v>
      </c>
      <c r="F35" s="1" t="s">
        <v>20</v>
      </c>
      <c r="G35" s="1" t="s">
        <v>21</v>
      </c>
      <c r="H35" s="1">
        <v>200</v>
      </c>
      <c r="I35" s="1">
        <v>2</v>
      </c>
      <c r="J35" s="1">
        <v>0.1</v>
      </c>
      <c r="K35" s="1">
        <v>360</v>
      </c>
      <c r="L35" s="1">
        <v>124.28</v>
      </c>
      <c r="M35" s="8">
        <f t="shared" ca="1" si="0"/>
        <v>46011.04483136574</v>
      </c>
      <c r="N35" s="9" t="str">
        <f t="shared" si="1"/>
        <v>Jan</v>
      </c>
    </row>
    <row r="36" spans="1:14" x14ac:dyDescent="0.3">
      <c r="A36" s="1">
        <v>1035</v>
      </c>
      <c r="B36" s="2">
        <v>45318</v>
      </c>
      <c r="C36" s="1" t="s">
        <v>36</v>
      </c>
      <c r="D36" s="1" t="s">
        <v>37</v>
      </c>
      <c r="E36" s="1" t="s">
        <v>14</v>
      </c>
      <c r="F36" s="1" t="s">
        <v>20</v>
      </c>
      <c r="G36" s="1" t="s">
        <v>21</v>
      </c>
      <c r="H36" s="1">
        <v>200</v>
      </c>
      <c r="I36" s="1">
        <v>5</v>
      </c>
      <c r="J36" s="1">
        <v>0</v>
      </c>
      <c r="K36" s="1">
        <v>1000</v>
      </c>
      <c r="L36" s="1">
        <v>249.69</v>
      </c>
      <c r="M36" s="8">
        <f t="shared" ca="1" si="0"/>
        <v>46011.04483136574</v>
      </c>
      <c r="N36" s="9" t="str">
        <f t="shared" si="1"/>
        <v>Jan</v>
      </c>
    </row>
    <row r="37" spans="1:14" x14ac:dyDescent="0.3">
      <c r="A37" s="1">
        <v>1036</v>
      </c>
      <c r="B37" s="2">
        <v>45366</v>
      </c>
      <c r="C37" s="1" t="s">
        <v>39</v>
      </c>
      <c r="D37" s="1" t="s">
        <v>40</v>
      </c>
      <c r="E37" s="1" t="s">
        <v>32</v>
      </c>
      <c r="F37" s="1" t="s">
        <v>20</v>
      </c>
      <c r="G37" s="1" t="s">
        <v>38</v>
      </c>
      <c r="H37" s="1">
        <v>350</v>
      </c>
      <c r="I37" s="1">
        <v>3</v>
      </c>
      <c r="J37" s="1">
        <v>0</v>
      </c>
      <c r="K37" s="1">
        <v>1050</v>
      </c>
      <c r="L37" s="1">
        <v>364.27</v>
      </c>
      <c r="M37" s="8">
        <f t="shared" ca="1" si="0"/>
        <v>46011.04483136574</v>
      </c>
      <c r="N37" s="9" t="str">
        <f t="shared" si="1"/>
        <v>Mar</v>
      </c>
    </row>
    <row r="38" spans="1:14" x14ac:dyDescent="0.3">
      <c r="A38" s="1">
        <v>1037</v>
      </c>
      <c r="B38" s="2">
        <v>45301</v>
      </c>
      <c r="C38" s="1" t="s">
        <v>41</v>
      </c>
      <c r="D38" s="1" t="s">
        <v>42</v>
      </c>
      <c r="E38" s="1" t="s">
        <v>19</v>
      </c>
      <c r="F38" s="1" t="s">
        <v>33</v>
      </c>
      <c r="G38" s="1" t="s">
        <v>43</v>
      </c>
      <c r="H38" s="1">
        <v>7500</v>
      </c>
      <c r="I38" s="1">
        <v>4</v>
      </c>
      <c r="J38" s="1">
        <v>0.15</v>
      </c>
      <c r="K38" s="1">
        <v>25500</v>
      </c>
      <c r="L38" s="1">
        <v>7174.95</v>
      </c>
      <c r="M38" s="8">
        <f t="shared" ca="1" si="0"/>
        <v>46011.04483136574</v>
      </c>
      <c r="N38" s="9" t="str">
        <f t="shared" si="1"/>
        <v>Jan</v>
      </c>
    </row>
    <row r="39" spans="1:14" x14ac:dyDescent="0.3">
      <c r="A39" s="1">
        <v>1038</v>
      </c>
      <c r="B39" s="2">
        <v>45460</v>
      </c>
      <c r="C39" s="1" t="s">
        <v>36</v>
      </c>
      <c r="D39" s="1" t="s">
        <v>37</v>
      </c>
      <c r="E39" s="1" t="s">
        <v>32</v>
      </c>
      <c r="F39" s="1" t="s">
        <v>15</v>
      </c>
      <c r="G39" s="1" t="s">
        <v>44</v>
      </c>
      <c r="H39" s="1">
        <v>18000</v>
      </c>
      <c r="I39" s="1">
        <v>2</v>
      </c>
      <c r="J39" s="1">
        <v>0.1</v>
      </c>
      <c r="K39" s="1">
        <v>32400</v>
      </c>
      <c r="L39" s="1">
        <v>10343.65</v>
      </c>
      <c r="M39" s="8">
        <f t="shared" ca="1" si="0"/>
        <v>46011.04483136574</v>
      </c>
      <c r="N39" s="9" t="str">
        <f t="shared" si="1"/>
        <v>Jun</v>
      </c>
    </row>
    <row r="40" spans="1:14" x14ac:dyDescent="0.3">
      <c r="A40" s="1">
        <v>1039</v>
      </c>
      <c r="B40" s="2">
        <v>45387</v>
      </c>
      <c r="C40" s="1" t="s">
        <v>25</v>
      </c>
      <c r="D40" s="1" t="s">
        <v>26</v>
      </c>
      <c r="E40" s="1" t="s">
        <v>19</v>
      </c>
      <c r="F40" s="1" t="s">
        <v>15</v>
      </c>
      <c r="G40" s="1" t="s">
        <v>24</v>
      </c>
      <c r="H40" s="1">
        <v>22000</v>
      </c>
      <c r="I40" s="1">
        <v>2</v>
      </c>
      <c r="J40" s="1">
        <v>0.05</v>
      </c>
      <c r="K40" s="1">
        <v>41800</v>
      </c>
      <c r="L40" s="1">
        <v>8923.91</v>
      </c>
      <c r="M40" s="8">
        <f t="shared" ca="1" si="0"/>
        <v>46011.04483136574</v>
      </c>
      <c r="N40" s="9" t="str">
        <f t="shared" si="1"/>
        <v>Apr</v>
      </c>
    </row>
    <row r="41" spans="1:14" x14ac:dyDescent="0.3">
      <c r="A41" s="1">
        <v>1040</v>
      </c>
      <c r="B41" s="2">
        <v>45427</v>
      </c>
      <c r="C41" s="1" t="s">
        <v>50</v>
      </c>
      <c r="D41" s="1" t="s">
        <v>51</v>
      </c>
      <c r="E41" s="1" t="s">
        <v>32</v>
      </c>
      <c r="F41" s="1" t="s">
        <v>15</v>
      </c>
      <c r="G41" s="1" t="s">
        <v>35</v>
      </c>
      <c r="H41" s="1">
        <v>55000</v>
      </c>
      <c r="I41" s="1">
        <v>2</v>
      </c>
      <c r="J41" s="1">
        <v>0.05</v>
      </c>
      <c r="K41" s="1">
        <v>104500</v>
      </c>
      <c r="L41" s="1">
        <v>29615.68</v>
      </c>
      <c r="M41" s="8">
        <f t="shared" ca="1" si="0"/>
        <v>46011.04483136574</v>
      </c>
      <c r="N41" s="9" t="str">
        <f t="shared" si="1"/>
        <v>May</v>
      </c>
    </row>
    <row r="42" spans="1:14" x14ac:dyDescent="0.3">
      <c r="A42" s="1">
        <v>1041</v>
      </c>
      <c r="B42" s="2">
        <v>45303</v>
      </c>
      <c r="C42" s="1" t="s">
        <v>41</v>
      </c>
      <c r="D42" s="1" t="s">
        <v>42</v>
      </c>
      <c r="E42" s="1" t="s">
        <v>32</v>
      </c>
      <c r="F42" s="1" t="s">
        <v>33</v>
      </c>
      <c r="G42" s="1" t="s">
        <v>34</v>
      </c>
      <c r="H42" s="1">
        <v>9500</v>
      </c>
      <c r="I42" s="1">
        <v>5</v>
      </c>
      <c r="J42" s="1">
        <v>0.05</v>
      </c>
      <c r="K42" s="1">
        <v>45125</v>
      </c>
      <c r="L42" s="1">
        <v>12102</v>
      </c>
      <c r="M42" s="8">
        <f t="shared" ca="1" si="0"/>
        <v>46011.04483136574</v>
      </c>
      <c r="N42" s="9" t="str">
        <f t="shared" si="1"/>
        <v>Jan</v>
      </c>
    </row>
    <row r="43" spans="1:14" x14ac:dyDescent="0.3">
      <c r="A43" s="1">
        <v>1042</v>
      </c>
      <c r="B43" s="2">
        <v>45314</v>
      </c>
      <c r="C43" s="1" t="s">
        <v>50</v>
      </c>
      <c r="D43" s="1" t="s">
        <v>51</v>
      </c>
      <c r="E43" s="1" t="s">
        <v>14</v>
      </c>
      <c r="F43" s="1" t="s">
        <v>15</v>
      </c>
      <c r="G43" s="1" t="s">
        <v>24</v>
      </c>
      <c r="H43" s="1">
        <v>22000</v>
      </c>
      <c r="I43" s="1">
        <v>3</v>
      </c>
      <c r="J43" s="1">
        <v>0.05</v>
      </c>
      <c r="K43" s="1">
        <v>62700</v>
      </c>
      <c r="L43" s="1">
        <v>10901.35</v>
      </c>
      <c r="M43" s="8">
        <f t="shared" ca="1" si="0"/>
        <v>46011.04483136574</v>
      </c>
      <c r="N43" s="9" t="str">
        <f t="shared" si="1"/>
        <v>Jan</v>
      </c>
    </row>
    <row r="44" spans="1:14" x14ac:dyDescent="0.3">
      <c r="A44" s="1">
        <v>1043</v>
      </c>
      <c r="B44" s="2">
        <v>45373</v>
      </c>
      <c r="C44" s="1" t="s">
        <v>36</v>
      </c>
      <c r="D44" s="1" t="s">
        <v>37</v>
      </c>
      <c r="E44" s="1" t="s">
        <v>32</v>
      </c>
      <c r="F44" s="1" t="s">
        <v>20</v>
      </c>
      <c r="G44" s="1" t="s">
        <v>38</v>
      </c>
      <c r="H44" s="1">
        <v>350</v>
      </c>
      <c r="I44" s="1">
        <v>5</v>
      </c>
      <c r="J44" s="1">
        <v>0.15</v>
      </c>
      <c r="K44" s="1">
        <v>1487.5</v>
      </c>
      <c r="L44" s="1">
        <v>509.71</v>
      </c>
      <c r="M44" s="8">
        <f t="shared" ca="1" si="0"/>
        <v>46011.04483136574</v>
      </c>
      <c r="N44" s="9" t="str">
        <f t="shared" si="1"/>
        <v>Mar</v>
      </c>
    </row>
    <row r="45" spans="1:14" x14ac:dyDescent="0.3">
      <c r="A45" s="1">
        <v>1044</v>
      </c>
      <c r="B45" s="2">
        <v>45421</v>
      </c>
      <c r="C45" s="1" t="s">
        <v>17</v>
      </c>
      <c r="D45" s="1" t="s">
        <v>18</v>
      </c>
      <c r="E45" s="1" t="s">
        <v>19</v>
      </c>
      <c r="F45" s="1" t="s">
        <v>15</v>
      </c>
      <c r="G45" s="1" t="s">
        <v>24</v>
      </c>
      <c r="H45" s="1">
        <v>22000</v>
      </c>
      <c r="I45" s="1">
        <v>1</v>
      </c>
      <c r="J45" s="1">
        <v>0</v>
      </c>
      <c r="K45" s="1">
        <v>22000</v>
      </c>
      <c r="L45" s="1">
        <v>4940.59</v>
      </c>
      <c r="M45" s="8">
        <f t="shared" ca="1" si="0"/>
        <v>46011.04483136574</v>
      </c>
      <c r="N45" s="9" t="str">
        <f t="shared" si="1"/>
        <v>May</v>
      </c>
    </row>
    <row r="46" spans="1:14" x14ac:dyDescent="0.3">
      <c r="A46" s="1">
        <v>1045</v>
      </c>
      <c r="B46" s="2">
        <v>45407</v>
      </c>
      <c r="C46" s="1" t="s">
        <v>46</v>
      </c>
      <c r="D46" s="1" t="s">
        <v>47</v>
      </c>
      <c r="E46" s="1" t="s">
        <v>29</v>
      </c>
      <c r="F46" s="1" t="s">
        <v>33</v>
      </c>
      <c r="G46" s="1" t="s">
        <v>52</v>
      </c>
      <c r="H46" s="1">
        <v>12000</v>
      </c>
      <c r="I46" s="1">
        <v>5</v>
      </c>
      <c r="J46" s="1">
        <v>0.15</v>
      </c>
      <c r="K46" s="1">
        <v>51000</v>
      </c>
      <c r="L46" s="1">
        <v>11623.26</v>
      </c>
      <c r="M46" s="8">
        <f t="shared" ca="1" si="0"/>
        <v>46011.04483136574</v>
      </c>
      <c r="N46" s="9" t="str">
        <f t="shared" si="1"/>
        <v>Apr</v>
      </c>
    </row>
    <row r="47" spans="1:14" x14ac:dyDescent="0.3">
      <c r="A47" s="1">
        <v>1046</v>
      </c>
      <c r="B47" s="2">
        <v>45430</v>
      </c>
      <c r="C47" s="1" t="s">
        <v>50</v>
      </c>
      <c r="D47" s="1" t="s">
        <v>51</v>
      </c>
      <c r="E47" s="1" t="s">
        <v>32</v>
      </c>
      <c r="F47" s="1" t="s">
        <v>33</v>
      </c>
      <c r="G47" s="1" t="s">
        <v>43</v>
      </c>
      <c r="H47" s="1">
        <v>7500</v>
      </c>
      <c r="I47" s="1">
        <v>1</v>
      </c>
      <c r="J47" s="1">
        <v>0.15</v>
      </c>
      <c r="K47" s="1">
        <v>6375</v>
      </c>
      <c r="L47" s="1">
        <v>1480.34</v>
      </c>
      <c r="M47" s="8">
        <f t="shared" ca="1" si="0"/>
        <v>46011.04483136574</v>
      </c>
      <c r="N47" s="9" t="str">
        <f t="shared" si="1"/>
        <v>May</v>
      </c>
    </row>
    <row r="48" spans="1:14" x14ac:dyDescent="0.3">
      <c r="A48" s="1">
        <v>1047</v>
      </c>
      <c r="B48" s="2">
        <v>45361</v>
      </c>
      <c r="C48" s="1" t="s">
        <v>12</v>
      </c>
      <c r="D48" s="1" t="s">
        <v>13</v>
      </c>
      <c r="E48" s="1" t="s">
        <v>14</v>
      </c>
      <c r="F48" s="1" t="s">
        <v>20</v>
      </c>
      <c r="G48" s="1" t="s">
        <v>45</v>
      </c>
      <c r="H48" s="1">
        <v>500</v>
      </c>
      <c r="I48" s="1">
        <v>5</v>
      </c>
      <c r="J48" s="1">
        <v>0.05</v>
      </c>
      <c r="K48" s="1">
        <v>2375</v>
      </c>
      <c r="L48" s="1">
        <v>798.51</v>
      </c>
      <c r="M48" s="8">
        <f t="shared" ca="1" si="0"/>
        <v>46011.04483136574</v>
      </c>
      <c r="N48" s="9" t="str">
        <f t="shared" si="1"/>
        <v>Mar</v>
      </c>
    </row>
    <row r="49" spans="1:14" x14ac:dyDescent="0.3">
      <c r="A49" s="1">
        <v>1048</v>
      </c>
      <c r="B49" s="2">
        <v>45359</v>
      </c>
      <c r="C49" s="1" t="s">
        <v>25</v>
      </c>
      <c r="D49" s="1" t="s">
        <v>26</v>
      </c>
      <c r="E49" s="1" t="s">
        <v>14</v>
      </c>
      <c r="F49" s="1" t="s">
        <v>33</v>
      </c>
      <c r="G49" s="1" t="s">
        <v>43</v>
      </c>
      <c r="H49" s="1">
        <v>7500</v>
      </c>
      <c r="I49" s="1">
        <v>3</v>
      </c>
      <c r="J49" s="1">
        <v>0.05</v>
      </c>
      <c r="K49" s="1">
        <v>21375</v>
      </c>
      <c r="L49" s="1">
        <v>6270.18</v>
      </c>
      <c r="M49" s="8">
        <f t="shared" ca="1" si="0"/>
        <v>46011.04483136574</v>
      </c>
      <c r="N49" s="9" t="str">
        <f t="shared" si="1"/>
        <v>Mar</v>
      </c>
    </row>
    <row r="50" spans="1:14" x14ac:dyDescent="0.3">
      <c r="A50" s="1">
        <v>1049</v>
      </c>
      <c r="B50" s="2">
        <v>45300</v>
      </c>
      <c r="C50" s="1" t="s">
        <v>46</v>
      </c>
      <c r="D50" s="1" t="s">
        <v>47</v>
      </c>
      <c r="E50" s="1" t="s">
        <v>14</v>
      </c>
      <c r="F50" s="1" t="s">
        <v>20</v>
      </c>
      <c r="G50" s="1" t="s">
        <v>38</v>
      </c>
      <c r="H50" s="1">
        <v>350</v>
      </c>
      <c r="I50" s="1">
        <v>3</v>
      </c>
      <c r="J50" s="1">
        <v>0.15</v>
      </c>
      <c r="K50" s="1">
        <v>892.5</v>
      </c>
      <c r="L50" s="1">
        <v>199.41</v>
      </c>
      <c r="M50" s="8">
        <f t="shared" ca="1" si="0"/>
        <v>46011.04483136574</v>
      </c>
      <c r="N50" s="9" t="str">
        <f t="shared" si="1"/>
        <v>Jan</v>
      </c>
    </row>
    <row r="51" spans="1:14" x14ac:dyDescent="0.3">
      <c r="A51" s="1">
        <v>1050</v>
      </c>
      <c r="B51" s="2">
        <v>45385</v>
      </c>
      <c r="C51" s="1" t="s">
        <v>27</v>
      </c>
      <c r="D51" s="1" t="s">
        <v>28</v>
      </c>
      <c r="E51" s="1" t="s">
        <v>19</v>
      </c>
      <c r="F51" s="1" t="s">
        <v>15</v>
      </c>
      <c r="G51" s="1" t="s">
        <v>44</v>
      </c>
      <c r="H51" s="1">
        <v>18000</v>
      </c>
      <c r="I51" s="1">
        <v>1</v>
      </c>
      <c r="J51" s="1">
        <v>0.15</v>
      </c>
      <c r="K51" s="1">
        <v>15300</v>
      </c>
      <c r="L51" s="1">
        <v>2800.71</v>
      </c>
      <c r="M51" s="8">
        <f t="shared" ca="1" si="0"/>
        <v>46011.04483136574</v>
      </c>
      <c r="N51" s="9" t="str">
        <f t="shared" si="1"/>
        <v>Apr</v>
      </c>
    </row>
    <row r="52" spans="1:14" x14ac:dyDescent="0.3">
      <c r="A52" s="1">
        <v>1051</v>
      </c>
      <c r="B52" s="2">
        <v>45339</v>
      </c>
      <c r="C52" s="1" t="s">
        <v>25</v>
      </c>
      <c r="D52" s="1" t="s">
        <v>26</v>
      </c>
      <c r="E52" s="1" t="s">
        <v>29</v>
      </c>
      <c r="F52" s="1" t="s">
        <v>33</v>
      </c>
      <c r="G52" s="1" t="s">
        <v>52</v>
      </c>
      <c r="H52" s="1">
        <v>12000</v>
      </c>
      <c r="I52" s="1">
        <v>3</v>
      </c>
      <c r="J52" s="1">
        <v>0.05</v>
      </c>
      <c r="K52" s="1">
        <v>34200</v>
      </c>
      <c r="L52" s="1">
        <v>11470.49</v>
      </c>
      <c r="M52" s="8">
        <f t="shared" ca="1" si="0"/>
        <v>46011.04483136574</v>
      </c>
      <c r="N52" s="9" t="str">
        <f t="shared" si="1"/>
        <v>Feb</v>
      </c>
    </row>
    <row r="53" spans="1:14" x14ac:dyDescent="0.3">
      <c r="A53" s="1">
        <v>1052</v>
      </c>
      <c r="B53" s="2">
        <v>45411</v>
      </c>
      <c r="C53" s="1" t="s">
        <v>39</v>
      </c>
      <c r="D53" s="1" t="s">
        <v>40</v>
      </c>
      <c r="E53" s="1" t="s">
        <v>29</v>
      </c>
      <c r="F53" s="1" t="s">
        <v>15</v>
      </c>
      <c r="G53" s="1" t="s">
        <v>24</v>
      </c>
      <c r="H53" s="1">
        <v>22000</v>
      </c>
      <c r="I53" s="1">
        <v>3</v>
      </c>
      <c r="J53" s="1">
        <v>0</v>
      </c>
      <c r="K53" s="1">
        <v>66000</v>
      </c>
      <c r="L53" s="1">
        <v>22969.85</v>
      </c>
      <c r="M53" s="8">
        <f t="shared" ca="1" si="0"/>
        <v>46011.04483136574</v>
      </c>
      <c r="N53" s="9" t="str">
        <f t="shared" si="1"/>
        <v>Apr</v>
      </c>
    </row>
    <row r="54" spans="1:14" x14ac:dyDescent="0.3">
      <c r="A54" s="1">
        <v>1053</v>
      </c>
      <c r="B54" s="2">
        <v>45349</v>
      </c>
      <c r="C54" s="1" t="s">
        <v>12</v>
      </c>
      <c r="D54" s="1" t="s">
        <v>13</v>
      </c>
      <c r="E54" s="1" t="s">
        <v>14</v>
      </c>
      <c r="F54" s="1" t="s">
        <v>15</v>
      </c>
      <c r="G54" s="1" t="s">
        <v>16</v>
      </c>
      <c r="H54" s="1">
        <v>3000</v>
      </c>
      <c r="I54" s="1">
        <v>3</v>
      </c>
      <c r="J54" s="1">
        <v>0.1</v>
      </c>
      <c r="K54" s="1">
        <v>8100</v>
      </c>
      <c r="L54" s="1">
        <v>2748.47</v>
      </c>
      <c r="M54" s="8">
        <f t="shared" ca="1" si="0"/>
        <v>46011.04483136574</v>
      </c>
      <c r="N54" s="9" t="str">
        <f t="shared" si="1"/>
        <v>Feb</v>
      </c>
    </row>
    <row r="55" spans="1:14" x14ac:dyDescent="0.3">
      <c r="A55" s="1">
        <v>1054</v>
      </c>
      <c r="B55" s="2">
        <v>45350</v>
      </c>
      <c r="C55" s="1" t="s">
        <v>30</v>
      </c>
      <c r="D55" s="1" t="s">
        <v>31</v>
      </c>
      <c r="E55" s="1" t="s">
        <v>29</v>
      </c>
      <c r="F55" s="1" t="s">
        <v>33</v>
      </c>
      <c r="G55" s="1" t="s">
        <v>52</v>
      </c>
      <c r="H55" s="1">
        <v>12000</v>
      </c>
      <c r="I55" s="1">
        <v>1</v>
      </c>
      <c r="J55" s="1">
        <v>0</v>
      </c>
      <c r="K55" s="1">
        <v>12000</v>
      </c>
      <c r="L55" s="1">
        <v>3707.89</v>
      </c>
      <c r="M55" s="8">
        <f t="shared" ca="1" si="0"/>
        <v>46011.04483136574</v>
      </c>
      <c r="N55" s="9" t="str">
        <f t="shared" si="1"/>
        <v>Feb</v>
      </c>
    </row>
    <row r="56" spans="1:14" x14ac:dyDescent="0.3">
      <c r="A56" s="1">
        <v>1055</v>
      </c>
      <c r="B56" s="2">
        <v>45313</v>
      </c>
      <c r="C56" s="1" t="s">
        <v>22</v>
      </c>
      <c r="D56" s="1" t="s">
        <v>23</v>
      </c>
      <c r="E56" s="1" t="s">
        <v>14</v>
      </c>
      <c r="F56" s="1" t="s">
        <v>15</v>
      </c>
      <c r="G56" s="1" t="s">
        <v>16</v>
      </c>
      <c r="H56" s="1">
        <v>3000</v>
      </c>
      <c r="I56" s="1">
        <v>1</v>
      </c>
      <c r="J56" s="1">
        <v>0</v>
      </c>
      <c r="K56" s="1">
        <v>3000</v>
      </c>
      <c r="L56" s="1">
        <v>753.99</v>
      </c>
      <c r="M56" s="8">
        <f t="shared" ca="1" si="0"/>
        <v>46011.04483136574</v>
      </c>
      <c r="N56" s="9" t="str">
        <f t="shared" si="1"/>
        <v>Jan</v>
      </c>
    </row>
    <row r="57" spans="1:14" x14ac:dyDescent="0.3">
      <c r="A57" s="1">
        <v>1056</v>
      </c>
      <c r="B57" s="2">
        <v>45301</v>
      </c>
      <c r="C57" s="1" t="s">
        <v>27</v>
      </c>
      <c r="D57" s="1" t="s">
        <v>28</v>
      </c>
      <c r="E57" s="1" t="s">
        <v>19</v>
      </c>
      <c r="F57" s="1" t="s">
        <v>33</v>
      </c>
      <c r="G57" s="1" t="s">
        <v>52</v>
      </c>
      <c r="H57" s="1">
        <v>12000</v>
      </c>
      <c r="I57" s="1">
        <v>1</v>
      </c>
      <c r="J57" s="1">
        <v>0.05</v>
      </c>
      <c r="K57" s="1">
        <v>11400</v>
      </c>
      <c r="L57" s="1">
        <v>1768.8</v>
      </c>
      <c r="M57" s="8">
        <f t="shared" ca="1" si="0"/>
        <v>46011.04483136574</v>
      </c>
      <c r="N57" s="9" t="str">
        <f t="shared" si="1"/>
        <v>Jan</v>
      </c>
    </row>
    <row r="58" spans="1:14" x14ac:dyDescent="0.3">
      <c r="A58" s="1">
        <v>1057</v>
      </c>
      <c r="B58" s="2">
        <v>45328</v>
      </c>
      <c r="C58" s="1" t="s">
        <v>41</v>
      </c>
      <c r="D58" s="1" t="s">
        <v>42</v>
      </c>
      <c r="E58" s="1" t="s">
        <v>19</v>
      </c>
      <c r="F58" s="1" t="s">
        <v>33</v>
      </c>
      <c r="G58" s="1" t="s">
        <v>43</v>
      </c>
      <c r="H58" s="1">
        <v>7500</v>
      </c>
      <c r="I58" s="1">
        <v>2</v>
      </c>
      <c r="J58" s="1">
        <v>0.1</v>
      </c>
      <c r="K58" s="1">
        <v>13500</v>
      </c>
      <c r="L58" s="1">
        <v>4534.0200000000004</v>
      </c>
      <c r="M58" s="8">
        <f t="shared" ca="1" si="0"/>
        <v>46011.04483136574</v>
      </c>
      <c r="N58" s="9" t="str">
        <f t="shared" si="1"/>
        <v>Feb</v>
      </c>
    </row>
    <row r="59" spans="1:14" x14ac:dyDescent="0.3">
      <c r="A59" s="1">
        <v>1058</v>
      </c>
      <c r="B59" s="2">
        <v>45321</v>
      </c>
      <c r="C59" s="1" t="s">
        <v>12</v>
      </c>
      <c r="D59" s="1" t="s">
        <v>13</v>
      </c>
      <c r="E59" s="1" t="s">
        <v>29</v>
      </c>
      <c r="F59" s="1" t="s">
        <v>33</v>
      </c>
      <c r="G59" s="1" t="s">
        <v>43</v>
      </c>
      <c r="H59" s="1">
        <v>7500</v>
      </c>
      <c r="I59" s="1">
        <v>4</v>
      </c>
      <c r="J59" s="1">
        <v>0.15</v>
      </c>
      <c r="K59" s="1">
        <v>25500</v>
      </c>
      <c r="L59" s="1">
        <v>6602.41</v>
      </c>
      <c r="M59" s="8">
        <f t="shared" ca="1" si="0"/>
        <v>46011.04483136574</v>
      </c>
      <c r="N59" s="9" t="str">
        <f t="shared" si="1"/>
        <v>Jan</v>
      </c>
    </row>
    <row r="60" spans="1:14" x14ac:dyDescent="0.3">
      <c r="A60" s="1">
        <v>1059</v>
      </c>
      <c r="B60" s="2">
        <v>45313</v>
      </c>
      <c r="C60" s="1" t="s">
        <v>27</v>
      </c>
      <c r="D60" s="1" t="s">
        <v>28</v>
      </c>
      <c r="E60" s="1" t="s">
        <v>29</v>
      </c>
      <c r="F60" s="1" t="s">
        <v>15</v>
      </c>
      <c r="G60" s="1" t="s">
        <v>44</v>
      </c>
      <c r="H60" s="1">
        <v>18000</v>
      </c>
      <c r="I60" s="1">
        <v>2</v>
      </c>
      <c r="J60" s="1">
        <v>0.1</v>
      </c>
      <c r="K60" s="1">
        <v>32400</v>
      </c>
      <c r="L60" s="1">
        <v>6908.38</v>
      </c>
      <c r="M60" s="8">
        <f t="shared" ca="1" si="0"/>
        <v>46011.04483136574</v>
      </c>
      <c r="N60" s="9" t="str">
        <f t="shared" si="1"/>
        <v>Jan</v>
      </c>
    </row>
    <row r="61" spans="1:14" x14ac:dyDescent="0.3">
      <c r="A61" s="1">
        <v>1060</v>
      </c>
      <c r="B61" s="2">
        <v>45420</v>
      </c>
      <c r="C61" s="1" t="s">
        <v>27</v>
      </c>
      <c r="D61" s="1" t="s">
        <v>28</v>
      </c>
      <c r="E61" s="1" t="s">
        <v>32</v>
      </c>
      <c r="F61" s="1" t="s">
        <v>15</v>
      </c>
      <c r="G61" s="1" t="s">
        <v>44</v>
      </c>
      <c r="H61" s="1">
        <v>18000</v>
      </c>
      <c r="I61" s="1">
        <v>4</v>
      </c>
      <c r="J61" s="1">
        <v>0.05</v>
      </c>
      <c r="K61" s="1">
        <v>68400</v>
      </c>
      <c r="L61" s="1">
        <v>20328.400000000001</v>
      </c>
      <c r="M61" s="8">
        <f t="shared" ca="1" si="0"/>
        <v>46011.04483136574</v>
      </c>
      <c r="N61" s="9" t="str">
        <f t="shared" si="1"/>
        <v>May</v>
      </c>
    </row>
    <row r="62" spans="1:14" x14ac:dyDescent="0.3">
      <c r="A62" s="1">
        <v>1061</v>
      </c>
      <c r="B62" s="2">
        <v>45300</v>
      </c>
      <c r="C62" s="1" t="s">
        <v>25</v>
      </c>
      <c r="D62" s="1" t="s">
        <v>26</v>
      </c>
      <c r="E62" s="1" t="s">
        <v>29</v>
      </c>
      <c r="F62" s="1" t="s">
        <v>20</v>
      </c>
      <c r="G62" s="1" t="s">
        <v>21</v>
      </c>
      <c r="H62" s="1">
        <v>200</v>
      </c>
      <c r="I62" s="1">
        <v>3</v>
      </c>
      <c r="J62" s="1">
        <v>0</v>
      </c>
      <c r="K62" s="1">
        <v>600</v>
      </c>
      <c r="L62" s="1">
        <v>124.79</v>
      </c>
      <c r="M62" s="8">
        <f t="shared" ca="1" si="0"/>
        <v>46011.04483136574</v>
      </c>
      <c r="N62" s="9" t="str">
        <f t="shared" si="1"/>
        <v>Jan</v>
      </c>
    </row>
    <row r="63" spans="1:14" x14ac:dyDescent="0.3">
      <c r="A63" s="1">
        <v>1062</v>
      </c>
      <c r="B63" s="2">
        <v>45443</v>
      </c>
      <c r="C63" s="1" t="s">
        <v>12</v>
      </c>
      <c r="D63" s="1" t="s">
        <v>13</v>
      </c>
      <c r="E63" s="1" t="s">
        <v>19</v>
      </c>
      <c r="F63" s="1" t="s">
        <v>33</v>
      </c>
      <c r="G63" s="1" t="s">
        <v>34</v>
      </c>
      <c r="H63" s="1">
        <v>9500</v>
      </c>
      <c r="I63" s="1">
        <v>5</v>
      </c>
      <c r="J63" s="1">
        <v>0.15</v>
      </c>
      <c r="K63" s="1">
        <v>40375</v>
      </c>
      <c r="L63" s="1">
        <v>10731.42</v>
      </c>
      <c r="M63" s="8">
        <f t="shared" ca="1" si="0"/>
        <v>46011.04483136574</v>
      </c>
      <c r="N63" s="9" t="str">
        <f t="shared" si="1"/>
        <v>May</v>
      </c>
    </row>
    <row r="64" spans="1:14" x14ac:dyDescent="0.3">
      <c r="A64" s="1">
        <v>1063</v>
      </c>
      <c r="B64" s="2">
        <v>45426</v>
      </c>
      <c r="C64" s="1" t="s">
        <v>48</v>
      </c>
      <c r="D64" s="1" t="s">
        <v>49</v>
      </c>
      <c r="E64" s="1" t="s">
        <v>29</v>
      </c>
      <c r="F64" s="1" t="s">
        <v>20</v>
      </c>
      <c r="G64" s="1" t="s">
        <v>45</v>
      </c>
      <c r="H64" s="1">
        <v>500</v>
      </c>
      <c r="I64" s="1">
        <v>2</v>
      </c>
      <c r="J64" s="1">
        <v>0.1</v>
      </c>
      <c r="K64" s="1">
        <v>900</v>
      </c>
      <c r="L64" s="1">
        <v>189.06</v>
      </c>
      <c r="M64" s="8">
        <f t="shared" ca="1" si="0"/>
        <v>46011.04483136574</v>
      </c>
      <c r="N64" s="9" t="str">
        <f t="shared" si="1"/>
        <v>May</v>
      </c>
    </row>
    <row r="65" spans="1:14" x14ac:dyDescent="0.3">
      <c r="A65" s="1">
        <v>1064</v>
      </c>
      <c r="B65" s="2">
        <v>45342</v>
      </c>
      <c r="C65" s="1" t="s">
        <v>17</v>
      </c>
      <c r="D65" s="1" t="s">
        <v>18</v>
      </c>
      <c r="E65" s="1" t="s">
        <v>19</v>
      </c>
      <c r="F65" s="1" t="s">
        <v>15</v>
      </c>
      <c r="G65" s="1" t="s">
        <v>35</v>
      </c>
      <c r="H65" s="1">
        <v>55000</v>
      </c>
      <c r="I65" s="1">
        <v>3</v>
      </c>
      <c r="J65" s="1">
        <v>0.15</v>
      </c>
      <c r="K65" s="1">
        <v>140250</v>
      </c>
      <c r="L65" s="1">
        <v>36990.69</v>
      </c>
      <c r="M65" s="8">
        <f t="shared" ca="1" si="0"/>
        <v>46011.04483136574</v>
      </c>
      <c r="N65" s="9" t="str">
        <f t="shared" si="1"/>
        <v>Feb</v>
      </c>
    </row>
    <row r="66" spans="1:14" x14ac:dyDescent="0.3">
      <c r="A66" s="1">
        <v>1065</v>
      </c>
      <c r="B66" s="2">
        <v>45328</v>
      </c>
      <c r="C66" s="1" t="s">
        <v>22</v>
      </c>
      <c r="D66" s="1" t="s">
        <v>23</v>
      </c>
      <c r="E66" s="1" t="s">
        <v>14</v>
      </c>
      <c r="F66" s="1" t="s">
        <v>20</v>
      </c>
      <c r="G66" s="1" t="s">
        <v>21</v>
      </c>
      <c r="H66" s="1">
        <v>200</v>
      </c>
      <c r="I66" s="1">
        <v>3</v>
      </c>
      <c r="J66" s="1">
        <v>0.1</v>
      </c>
      <c r="K66" s="1">
        <v>540</v>
      </c>
      <c r="L66" s="1">
        <v>156.22</v>
      </c>
      <c r="M66" s="8">
        <f t="shared" ca="1" si="0"/>
        <v>46011.04483136574</v>
      </c>
      <c r="N66" s="9" t="str">
        <f t="shared" si="1"/>
        <v>Feb</v>
      </c>
    </row>
    <row r="67" spans="1:14" x14ac:dyDescent="0.3">
      <c r="A67" s="1">
        <v>1066</v>
      </c>
      <c r="B67" s="2">
        <v>45439</v>
      </c>
      <c r="C67" s="1" t="s">
        <v>48</v>
      </c>
      <c r="D67" s="1" t="s">
        <v>49</v>
      </c>
      <c r="E67" s="1" t="s">
        <v>19</v>
      </c>
      <c r="F67" s="1" t="s">
        <v>15</v>
      </c>
      <c r="G67" s="1" t="s">
        <v>35</v>
      </c>
      <c r="H67" s="1">
        <v>55000</v>
      </c>
      <c r="I67" s="1">
        <v>5</v>
      </c>
      <c r="J67" s="1">
        <v>0.1</v>
      </c>
      <c r="K67" s="1">
        <v>247500</v>
      </c>
      <c r="L67" s="1">
        <v>63591.9</v>
      </c>
      <c r="M67" s="8">
        <f t="shared" ref="M67:M130" ca="1" si="2">NOW()</f>
        <v>46011.04483136574</v>
      </c>
      <c r="N67" s="9" t="str">
        <f t="shared" ref="N67:N130" si="3">TEXT(B67,"mmm")</f>
        <v>May</v>
      </c>
    </row>
    <row r="68" spans="1:14" x14ac:dyDescent="0.3">
      <c r="A68" s="1">
        <v>1067</v>
      </c>
      <c r="B68" s="2">
        <v>45422</v>
      </c>
      <c r="C68" s="1" t="s">
        <v>39</v>
      </c>
      <c r="D68" s="1" t="s">
        <v>40</v>
      </c>
      <c r="E68" s="1" t="s">
        <v>32</v>
      </c>
      <c r="F68" s="1" t="s">
        <v>33</v>
      </c>
      <c r="G68" s="1" t="s">
        <v>43</v>
      </c>
      <c r="H68" s="1">
        <v>7500</v>
      </c>
      <c r="I68" s="1">
        <v>1</v>
      </c>
      <c r="J68" s="1">
        <v>0</v>
      </c>
      <c r="K68" s="1">
        <v>7500</v>
      </c>
      <c r="L68" s="1">
        <v>1671.79</v>
      </c>
      <c r="M68" s="8">
        <f t="shared" ca="1" si="2"/>
        <v>46011.04483136574</v>
      </c>
      <c r="N68" s="9" t="str">
        <f t="shared" si="3"/>
        <v>May</v>
      </c>
    </row>
    <row r="69" spans="1:14" x14ac:dyDescent="0.3">
      <c r="A69" s="1">
        <v>1068</v>
      </c>
      <c r="B69" s="2">
        <v>45360</v>
      </c>
      <c r="C69" s="1" t="s">
        <v>36</v>
      </c>
      <c r="D69" s="1" t="s">
        <v>37</v>
      </c>
      <c r="E69" s="1" t="s">
        <v>32</v>
      </c>
      <c r="F69" s="1" t="s">
        <v>15</v>
      </c>
      <c r="G69" s="1" t="s">
        <v>44</v>
      </c>
      <c r="H69" s="1">
        <v>18000</v>
      </c>
      <c r="I69" s="1">
        <v>1</v>
      </c>
      <c r="J69" s="1">
        <v>0.1</v>
      </c>
      <c r="K69" s="1">
        <v>16200</v>
      </c>
      <c r="L69" s="1">
        <v>4678.68</v>
      </c>
      <c r="M69" s="8">
        <f t="shared" ca="1" si="2"/>
        <v>46011.04483136574</v>
      </c>
      <c r="N69" s="9" t="str">
        <f t="shared" si="3"/>
        <v>Mar</v>
      </c>
    </row>
    <row r="70" spans="1:14" x14ac:dyDescent="0.3">
      <c r="A70" s="1">
        <v>1069</v>
      </c>
      <c r="B70" s="2">
        <v>45454</v>
      </c>
      <c r="C70" s="1" t="s">
        <v>48</v>
      </c>
      <c r="D70" s="1" t="s">
        <v>49</v>
      </c>
      <c r="E70" s="1" t="s">
        <v>14</v>
      </c>
      <c r="F70" s="1" t="s">
        <v>20</v>
      </c>
      <c r="G70" s="1" t="s">
        <v>45</v>
      </c>
      <c r="H70" s="1">
        <v>500</v>
      </c>
      <c r="I70" s="1">
        <v>4</v>
      </c>
      <c r="J70" s="1">
        <v>0.1</v>
      </c>
      <c r="K70" s="1">
        <v>1800</v>
      </c>
      <c r="L70" s="1">
        <v>468.4</v>
      </c>
      <c r="M70" s="8">
        <f t="shared" ca="1" si="2"/>
        <v>46011.04483136574</v>
      </c>
      <c r="N70" s="9" t="str">
        <f t="shared" si="3"/>
        <v>Jun</v>
      </c>
    </row>
    <row r="71" spans="1:14" x14ac:dyDescent="0.3">
      <c r="A71" s="1">
        <v>1070</v>
      </c>
      <c r="B71" s="2">
        <v>45295</v>
      </c>
      <c r="C71" s="1" t="s">
        <v>50</v>
      </c>
      <c r="D71" s="1" t="s">
        <v>51</v>
      </c>
      <c r="E71" s="1" t="s">
        <v>19</v>
      </c>
      <c r="F71" s="1" t="s">
        <v>15</v>
      </c>
      <c r="G71" s="1" t="s">
        <v>16</v>
      </c>
      <c r="H71" s="1">
        <v>3000</v>
      </c>
      <c r="I71" s="1">
        <v>4</v>
      </c>
      <c r="J71" s="1">
        <v>0</v>
      </c>
      <c r="K71" s="1">
        <v>12000</v>
      </c>
      <c r="L71" s="1">
        <v>1920.53</v>
      </c>
      <c r="M71" s="8">
        <f t="shared" ca="1" si="2"/>
        <v>46011.04483136574</v>
      </c>
      <c r="N71" s="9" t="str">
        <f t="shared" si="3"/>
        <v>Jan</v>
      </c>
    </row>
    <row r="72" spans="1:14" x14ac:dyDescent="0.3">
      <c r="A72" s="1">
        <v>1071</v>
      </c>
      <c r="B72" s="2">
        <v>45463</v>
      </c>
      <c r="C72" s="1" t="s">
        <v>48</v>
      </c>
      <c r="D72" s="1" t="s">
        <v>49</v>
      </c>
      <c r="E72" s="1" t="s">
        <v>14</v>
      </c>
      <c r="F72" s="1" t="s">
        <v>15</v>
      </c>
      <c r="G72" s="1" t="s">
        <v>35</v>
      </c>
      <c r="H72" s="1">
        <v>55000</v>
      </c>
      <c r="I72" s="1">
        <v>5</v>
      </c>
      <c r="J72" s="1">
        <v>0</v>
      </c>
      <c r="K72" s="1">
        <v>275000</v>
      </c>
      <c r="L72" s="1">
        <v>84911.26</v>
      </c>
      <c r="M72" s="8">
        <f t="shared" ca="1" si="2"/>
        <v>46011.04483136574</v>
      </c>
      <c r="N72" s="9" t="str">
        <f t="shared" si="3"/>
        <v>Jun</v>
      </c>
    </row>
    <row r="73" spans="1:14" x14ac:dyDescent="0.3">
      <c r="A73" s="1">
        <v>1072</v>
      </c>
      <c r="B73" s="2">
        <v>45316</v>
      </c>
      <c r="C73" s="1" t="s">
        <v>41</v>
      </c>
      <c r="D73" s="1" t="s">
        <v>42</v>
      </c>
      <c r="E73" s="1" t="s">
        <v>14</v>
      </c>
      <c r="F73" s="1" t="s">
        <v>15</v>
      </c>
      <c r="G73" s="1" t="s">
        <v>35</v>
      </c>
      <c r="H73" s="1">
        <v>55000</v>
      </c>
      <c r="I73" s="1">
        <v>4</v>
      </c>
      <c r="J73" s="1">
        <v>0.15</v>
      </c>
      <c r="K73" s="1">
        <v>187000</v>
      </c>
      <c r="L73" s="1">
        <v>59205.35</v>
      </c>
      <c r="M73" s="8">
        <f t="shared" ca="1" si="2"/>
        <v>46011.04483136574</v>
      </c>
      <c r="N73" s="9" t="str">
        <f t="shared" si="3"/>
        <v>Jan</v>
      </c>
    </row>
    <row r="74" spans="1:14" x14ac:dyDescent="0.3">
      <c r="A74" s="1">
        <v>1073</v>
      </c>
      <c r="B74" s="2">
        <v>45302</v>
      </c>
      <c r="C74" s="1" t="s">
        <v>25</v>
      </c>
      <c r="D74" s="1" t="s">
        <v>26</v>
      </c>
      <c r="E74" s="1" t="s">
        <v>19</v>
      </c>
      <c r="F74" s="1" t="s">
        <v>33</v>
      </c>
      <c r="G74" s="1" t="s">
        <v>52</v>
      </c>
      <c r="H74" s="1">
        <v>12000</v>
      </c>
      <c r="I74" s="1">
        <v>1</v>
      </c>
      <c r="J74" s="1">
        <v>0</v>
      </c>
      <c r="K74" s="1">
        <v>12000</v>
      </c>
      <c r="L74" s="1">
        <v>3380.79</v>
      </c>
      <c r="M74" s="8">
        <f t="shared" ca="1" si="2"/>
        <v>46011.04483136574</v>
      </c>
      <c r="N74" s="9" t="str">
        <f t="shared" si="3"/>
        <v>Jan</v>
      </c>
    </row>
    <row r="75" spans="1:14" x14ac:dyDescent="0.3">
      <c r="A75" s="1">
        <v>1074</v>
      </c>
      <c r="B75" s="2">
        <v>45306</v>
      </c>
      <c r="C75" s="1" t="s">
        <v>41</v>
      </c>
      <c r="D75" s="1" t="s">
        <v>42</v>
      </c>
      <c r="E75" s="1" t="s">
        <v>19</v>
      </c>
      <c r="F75" s="1" t="s">
        <v>20</v>
      </c>
      <c r="G75" s="1" t="s">
        <v>21</v>
      </c>
      <c r="H75" s="1">
        <v>200</v>
      </c>
      <c r="I75" s="1">
        <v>1</v>
      </c>
      <c r="J75" s="1">
        <v>0.05</v>
      </c>
      <c r="K75" s="1">
        <v>190</v>
      </c>
      <c r="L75" s="1">
        <v>53.44</v>
      </c>
      <c r="M75" s="8">
        <f t="shared" ca="1" si="2"/>
        <v>46011.04483136574</v>
      </c>
      <c r="N75" s="9" t="str">
        <f t="shared" si="3"/>
        <v>Jan</v>
      </c>
    </row>
    <row r="76" spans="1:14" x14ac:dyDescent="0.3">
      <c r="A76" s="1">
        <v>1075</v>
      </c>
      <c r="B76" s="2">
        <v>45301</v>
      </c>
      <c r="C76" s="1" t="s">
        <v>30</v>
      </c>
      <c r="D76" s="1" t="s">
        <v>31</v>
      </c>
      <c r="E76" s="1" t="s">
        <v>32</v>
      </c>
      <c r="F76" s="1" t="s">
        <v>33</v>
      </c>
      <c r="G76" s="1" t="s">
        <v>52</v>
      </c>
      <c r="H76" s="1">
        <v>12000</v>
      </c>
      <c r="I76" s="1">
        <v>2</v>
      </c>
      <c r="J76" s="1">
        <v>0.15</v>
      </c>
      <c r="K76" s="1">
        <v>20400</v>
      </c>
      <c r="L76" s="1">
        <v>6210.38</v>
      </c>
      <c r="M76" s="8">
        <f t="shared" ca="1" si="2"/>
        <v>46011.04483136574</v>
      </c>
      <c r="N76" s="9" t="str">
        <f t="shared" si="3"/>
        <v>Jan</v>
      </c>
    </row>
    <row r="77" spans="1:14" x14ac:dyDescent="0.3">
      <c r="A77" s="1">
        <v>1076</v>
      </c>
      <c r="B77" s="2">
        <v>45335</v>
      </c>
      <c r="C77" s="1" t="s">
        <v>48</v>
      </c>
      <c r="D77" s="1" t="s">
        <v>49</v>
      </c>
      <c r="E77" s="1" t="s">
        <v>29</v>
      </c>
      <c r="F77" s="1" t="s">
        <v>20</v>
      </c>
      <c r="G77" s="1" t="s">
        <v>21</v>
      </c>
      <c r="H77" s="1">
        <v>200</v>
      </c>
      <c r="I77" s="1">
        <v>1</v>
      </c>
      <c r="J77" s="1">
        <v>0</v>
      </c>
      <c r="K77" s="1">
        <v>200</v>
      </c>
      <c r="L77" s="1">
        <v>34.54</v>
      </c>
      <c r="M77" s="8">
        <f t="shared" ca="1" si="2"/>
        <v>46011.04483136574</v>
      </c>
      <c r="N77" s="9" t="str">
        <f t="shared" si="3"/>
        <v>Feb</v>
      </c>
    </row>
    <row r="78" spans="1:14" x14ac:dyDescent="0.3">
      <c r="A78" s="1">
        <v>1077</v>
      </c>
      <c r="B78" s="2">
        <v>45422</v>
      </c>
      <c r="C78" s="1" t="s">
        <v>30</v>
      </c>
      <c r="D78" s="1" t="s">
        <v>31</v>
      </c>
      <c r="E78" s="1" t="s">
        <v>29</v>
      </c>
      <c r="F78" s="1" t="s">
        <v>33</v>
      </c>
      <c r="G78" s="1" t="s">
        <v>52</v>
      </c>
      <c r="H78" s="1">
        <v>12000</v>
      </c>
      <c r="I78" s="1">
        <v>4</v>
      </c>
      <c r="J78" s="1">
        <v>0.15</v>
      </c>
      <c r="K78" s="1">
        <v>40800</v>
      </c>
      <c r="L78" s="1">
        <v>7413.96</v>
      </c>
      <c r="M78" s="8">
        <f t="shared" ca="1" si="2"/>
        <v>46011.04483136574</v>
      </c>
      <c r="N78" s="9" t="str">
        <f t="shared" si="3"/>
        <v>May</v>
      </c>
    </row>
    <row r="79" spans="1:14" x14ac:dyDescent="0.3">
      <c r="A79" s="1">
        <v>1078</v>
      </c>
      <c r="B79" s="2">
        <v>45300</v>
      </c>
      <c r="C79" s="1" t="s">
        <v>22</v>
      </c>
      <c r="D79" s="1" t="s">
        <v>23</v>
      </c>
      <c r="E79" s="1" t="s">
        <v>29</v>
      </c>
      <c r="F79" s="1" t="s">
        <v>20</v>
      </c>
      <c r="G79" s="1" t="s">
        <v>21</v>
      </c>
      <c r="H79" s="1">
        <v>200</v>
      </c>
      <c r="I79" s="1">
        <v>3</v>
      </c>
      <c r="J79" s="1">
        <v>0</v>
      </c>
      <c r="K79" s="1">
        <v>600</v>
      </c>
      <c r="L79" s="1">
        <v>176.46</v>
      </c>
      <c r="M79" s="8">
        <f t="shared" ca="1" si="2"/>
        <v>46011.04483136574</v>
      </c>
      <c r="N79" s="9" t="str">
        <f t="shared" si="3"/>
        <v>Jan</v>
      </c>
    </row>
    <row r="80" spans="1:14" x14ac:dyDescent="0.3">
      <c r="A80" s="1">
        <v>1079</v>
      </c>
      <c r="B80" s="2">
        <v>45335</v>
      </c>
      <c r="C80" s="1" t="s">
        <v>50</v>
      </c>
      <c r="D80" s="1" t="s">
        <v>51</v>
      </c>
      <c r="E80" s="1" t="s">
        <v>19</v>
      </c>
      <c r="F80" s="1" t="s">
        <v>33</v>
      </c>
      <c r="G80" s="1" t="s">
        <v>34</v>
      </c>
      <c r="H80" s="1">
        <v>9500</v>
      </c>
      <c r="I80" s="1">
        <v>4</v>
      </c>
      <c r="J80" s="1">
        <v>0.1</v>
      </c>
      <c r="K80" s="1">
        <v>34200</v>
      </c>
      <c r="L80" s="1">
        <v>11452.38</v>
      </c>
      <c r="M80" s="8">
        <f t="shared" ca="1" si="2"/>
        <v>46011.04483136574</v>
      </c>
      <c r="N80" s="9" t="str">
        <f t="shared" si="3"/>
        <v>Feb</v>
      </c>
    </row>
    <row r="81" spans="1:14" x14ac:dyDescent="0.3">
      <c r="A81" s="1">
        <v>1080</v>
      </c>
      <c r="B81" s="2">
        <v>45302</v>
      </c>
      <c r="C81" s="1" t="s">
        <v>27</v>
      </c>
      <c r="D81" s="1" t="s">
        <v>28</v>
      </c>
      <c r="E81" s="1" t="s">
        <v>14</v>
      </c>
      <c r="F81" s="1" t="s">
        <v>15</v>
      </c>
      <c r="G81" s="1" t="s">
        <v>44</v>
      </c>
      <c r="H81" s="1">
        <v>18000</v>
      </c>
      <c r="I81" s="1">
        <v>2</v>
      </c>
      <c r="J81" s="1">
        <v>0.15</v>
      </c>
      <c r="K81" s="1">
        <v>30600</v>
      </c>
      <c r="L81" s="1">
        <v>7424.55</v>
      </c>
      <c r="M81" s="8">
        <f t="shared" ca="1" si="2"/>
        <v>46011.04483136574</v>
      </c>
      <c r="N81" s="9" t="str">
        <f t="shared" si="3"/>
        <v>Jan</v>
      </c>
    </row>
    <row r="82" spans="1:14" x14ac:dyDescent="0.3">
      <c r="A82" s="1">
        <v>1081</v>
      </c>
      <c r="B82" s="2">
        <v>45415</v>
      </c>
      <c r="C82" s="1" t="s">
        <v>50</v>
      </c>
      <c r="D82" s="1" t="s">
        <v>51</v>
      </c>
      <c r="E82" s="1" t="s">
        <v>19</v>
      </c>
      <c r="F82" s="1" t="s">
        <v>15</v>
      </c>
      <c r="G82" s="1" t="s">
        <v>44</v>
      </c>
      <c r="H82" s="1">
        <v>18000</v>
      </c>
      <c r="I82" s="1">
        <v>3</v>
      </c>
      <c r="J82" s="1">
        <v>0.1</v>
      </c>
      <c r="K82" s="1">
        <v>48600</v>
      </c>
      <c r="L82" s="1">
        <v>15614.46</v>
      </c>
      <c r="M82" s="8">
        <f t="shared" ca="1" si="2"/>
        <v>46011.04483136574</v>
      </c>
      <c r="N82" s="9" t="str">
        <f t="shared" si="3"/>
        <v>May</v>
      </c>
    </row>
    <row r="83" spans="1:14" x14ac:dyDescent="0.3">
      <c r="A83" s="1">
        <v>1082</v>
      </c>
      <c r="B83" s="2">
        <v>45331</v>
      </c>
      <c r="C83" s="1" t="s">
        <v>50</v>
      </c>
      <c r="D83" s="1" t="s">
        <v>51</v>
      </c>
      <c r="E83" s="1" t="s">
        <v>32</v>
      </c>
      <c r="F83" s="1" t="s">
        <v>33</v>
      </c>
      <c r="G83" s="1" t="s">
        <v>43</v>
      </c>
      <c r="H83" s="1">
        <v>7500</v>
      </c>
      <c r="I83" s="1">
        <v>1</v>
      </c>
      <c r="J83" s="1">
        <v>0.15</v>
      </c>
      <c r="K83" s="1">
        <v>6375</v>
      </c>
      <c r="L83" s="1">
        <v>1824.53</v>
      </c>
      <c r="M83" s="8">
        <f t="shared" ca="1" si="2"/>
        <v>46011.04483136574</v>
      </c>
      <c r="N83" s="9" t="str">
        <f t="shared" si="3"/>
        <v>Feb</v>
      </c>
    </row>
    <row r="84" spans="1:14" x14ac:dyDescent="0.3">
      <c r="A84" s="1">
        <v>1083</v>
      </c>
      <c r="B84" s="2">
        <v>45450</v>
      </c>
      <c r="C84" s="1" t="s">
        <v>25</v>
      </c>
      <c r="D84" s="1" t="s">
        <v>26</v>
      </c>
      <c r="E84" s="1" t="s">
        <v>14</v>
      </c>
      <c r="F84" s="1" t="s">
        <v>20</v>
      </c>
      <c r="G84" s="1" t="s">
        <v>45</v>
      </c>
      <c r="H84" s="1">
        <v>500</v>
      </c>
      <c r="I84" s="1">
        <v>1</v>
      </c>
      <c r="J84" s="1">
        <v>0</v>
      </c>
      <c r="K84" s="1">
        <v>500</v>
      </c>
      <c r="L84" s="1">
        <v>139.03</v>
      </c>
      <c r="M84" s="8">
        <f t="shared" ca="1" si="2"/>
        <v>46011.04483136574</v>
      </c>
      <c r="N84" s="9" t="str">
        <f t="shared" si="3"/>
        <v>Jun</v>
      </c>
    </row>
    <row r="85" spans="1:14" x14ac:dyDescent="0.3">
      <c r="A85" s="1">
        <v>1084</v>
      </c>
      <c r="B85" s="2">
        <v>45315</v>
      </c>
      <c r="C85" s="1" t="s">
        <v>50</v>
      </c>
      <c r="D85" s="1" t="s">
        <v>51</v>
      </c>
      <c r="E85" s="1" t="s">
        <v>19</v>
      </c>
      <c r="F85" s="1" t="s">
        <v>33</v>
      </c>
      <c r="G85" s="1" t="s">
        <v>34</v>
      </c>
      <c r="H85" s="1">
        <v>9500</v>
      </c>
      <c r="I85" s="1">
        <v>3</v>
      </c>
      <c r="J85" s="1">
        <v>0.15</v>
      </c>
      <c r="K85" s="1">
        <v>24225</v>
      </c>
      <c r="L85" s="1">
        <v>5253.73</v>
      </c>
      <c r="M85" s="8">
        <f t="shared" ca="1" si="2"/>
        <v>46011.04483136574</v>
      </c>
      <c r="N85" s="9" t="str">
        <f t="shared" si="3"/>
        <v>Jan</v>
      </c>
    </row>
    <row r="86" spans="1:14" x14ac:dyDescent="0.3">
      <c r="A86" s="1">
        <v>1085</v>
      </c>
      <c r="B86" s="2">
        <v>45348</v>
      </c>
      <c r="C86" s="1" t="s">
        <v>36</v>
      </c>
      <c r="D86" s="1" t="s">
        <v>37</v>
      </c>
      <c r="E86" s="1" t="s">
        <v>14</v>
      </c>
      <c r="F86" s="1" t="s">
        <v>33</v>
      </c>
      <c r="G86" s="1" t="s">
        <v>52</v>
      </c>
      <c r="H86" s="1">
        <v>12000</v>
      </c>
      <c r="I86" s="1">
        <v>5</v>
      </c>
      <c r="J86" s="1">
        <v>0</v>
      </c>
      <c r="K86" s="1">
        <v>60000</v>
      </c>
      <c r="L86" s="1">
        <v>14190.28</v>
      </c>
      <c r="M86" s="8">
        <f t="shared" ca="1" si="2"/>
        <v>46011.04483136574</v>
      </c>
      <c r="N86" s="9" t="str">
        <f t="shared" si="3"/>
        <v>Feb</v>
      </c>
    </row>
    <row r="87" spans="1:14" x14ac:dyDescent="0.3">
      <c r="A87" s="1">
        <v>1086</v>
      </c>
      <c r="B87" s="2">
        <v>45426</v>
      </c>
      <c r="C87" s="1" t="s">
        <v>30</v>
      </c>
      <c r="D87" s="1" t="s">
        <v>31</v>
      </c>
      <c r="E87" s="1" t="s">
        <v>29</v>
      </c>
      <c r="F87" s="1" t="s">
        <v>33</v>
      </c>
      <c r="G87" s="1" t="s">
        <v>52</v>
      </c>
      <c r="H87" s="1">
        <v>12000</v>
      </c>
      <c r="I87" s="1">
        <v>3</v>
      </c>
      <c r="J87" s="1">
        <v>0</v>
      </c>
      <c r="K87" s="1">
        <v>36000</v>
      </c>
      <c r="L87" s="1">
        <v>9435.48</v>
      </c>
      <c r="M87" s="8">
        <f t="shared" ca="1" si="2"/>
        <v>46011.04483136574</v>
      </c>
      <c r="N87" s="9" t="str">
        <f t="shared" si="3"/>
        <v>May</v>
      </c>
    </row>
    <row r="88" spans="1:14" x14ac:dyDescent="0.3">
      <c r="A88" s="1">
        <v>1087</v>
      </c>
      <c r="B88" s="2">
        <v>45396</v>
      </c>
      <c r="C88" s="1" t="s">
        <v>39</v>
      </c>
      <c r="D88" s="1" t="s">
        <v>40</v>
      </c>
      <c r="E88" s="1" t="s">
        <v>19</v>
      </c>
      <c r="F88" s="1" t="s">
        <v>20</v>
      </c>
      <c r="G88" s="1" t="s">
        <v>21</v>
      </c>
      <c r="H88" s="1">
        <v>200</v>
      </c>
      <c r="I88" s="1">
        <v>5</v>
      </c>
      <c r="J88" s="1">
        <v>0.15</v>
      </c>
      <c r="K88" s="1">
        <v>850</v>
      </c>
      <c r="L88" s="1">
        <v>252.02</v>
      </c>
      <c r="M88" s="8">
        <f t="shared" ca="1" si="2"/>
        <v>46011.04483136574</v>
      </c>
      <c r="N88" s="9" t="str">
        <f t="shared" si="3"/>
        <v>Apr</v>
      </c>
    </row>
    <row r="89" spans="1:14" x14ac:dyDescent="0.3">
      <c r="A89" s="1">
        <v>1088</v>
      </c>
      <c r="B89" s="2">
        <v>45347</v>
      </c>
      <c r="C89" s="1" t="s">
        <v>25</v>
      </c>
      <c r="D89" s="1" t="s">
        <v>26</v>
      </c>
      <c r="E89" s="1" t="s">
        <v>32</v>
      </c>
      <c r="F89" s="1" t="s">
        <v>33</v>
      </c>
      <c r="G89" s="1" t="s">
        <v>34</v>
      </c>
      <c r="H89" s="1">
        <v>9500</v>
      </c>
      <c r="I89" s="1">
        <v>5</v>
      </c>
      <c r="J89" s="1">
        <v>0</v>
      </c>
      <c r="K89" s="1">
        <v>47500</v>
      </c>
      <c r="L89" s="1">
        <v>11702.3</v>
      </c>
      <c r="M89" s="8">
        <f t="shared" ca="1" si="2"/>
        <v>46011.04483136574</v>
      </c>
      <c r="N89" s="9" t="str">
        <f t="shared" si="3"/>
        <v>Feb</v>
      </c>
    </row>
    <row r="90" spans="1:14" x14ac:dyDescent="0.3">
      <c r="A90" s="1">
        <v>1089</v>
      </c>
      <c r="B90" s="2">
        <v>45294</v>
      </c>
      <c r="C90" s="1" t="s">
        <v>41</v>
      </c>
      <c r="D90" s="1" t="s">
        <v>42</v>
      </c>
      <c r="E90" s="1" t="s">
        <v>29</v>
      </c>
      <c r="F90" s="1" t="s">
        <v>20</v>
      </c>
      <c r="G90" s="1" t="s">
        <v>38</v>
      </c>
      <c r="H90" s="1">
        <v>350</v>
      </c>
      <c r="I90" s="1">
        <v>3</v>
      </c>
      <c r="J90" s="1">
        <v>0</v>
      </c>
      <c r="K90" s="1">
        <v>1050</v>
      </c>
      <c r="L90" s="1">
        <v>251.02</v>
      </c>
      <c r="M90" s="8">
        <f t="shared" ca="1" si="2"/>
        <v>46011.04483136574</v>
      </c>
      <c r="N90" s="9" t="str">
        <f t="shared" si="3"/>
        <v>Jan</v>
      </c>
    </row>
    <row r="91" spans="1:14" x14ac:dyDescent="0.3">
      <c r="A91" s="1">
        <v>1090</v>
      </c>
      <c r="B91" s="2">
        <v>45333</v>
      </c>
      <c r="C91" s="1" t="s">
        <v>25</v>
      </c>
      <c r="D91" s="1" t="s">
        <v>26</v>
      </c>
      <c r="E91" s="1" t="s">
        <v>14</v>
      </c>
      <c r="F91" s="1" t="s">
        <v>33</v>
      </c>
      <c r="G91" s="1" t="s">
        <v>34</v>
      </c>
      <c r="H91" s="1">
        <v>9500</v>
      </c>
      <c r="I91" s="1">
        <v>2</v>
      </c>
      <c r="J91" s="1">
        <v>0.1</v>
      </c>
      <c r="K91" s="1">
        <v>17100</v>
      </c>
      <c r="L91" s="1">
        <v>4876</v>
      </c>
      <c r="M91" s="8">
        <f t="shared" ca="1" si="2"/>
        <v>46011.04483136574</v>
      </c>
      <c r="N91" s="9" t="str">
        <f t="shared" si="3"/>
        <v>Feb</v>
      </c>
    </row>
    <row r="92" spans="1:14" x14ac:dyDescent="0.3">
      <c r="A92" s="1">
        <v>1091</v>
      </c>
      <c r="B92" s="2">
        <v>45403</v>
      </c>
      <c r="C92" s="1" t="s">
        <v>17</v>
      </c>
      <c r="D92" s="1" t="s">
        <v>18</v>
      </c>
      <c r="E92" s="1" t="s">
        <v>29</v>
      </c>
      <c r="F92" s="1" t="s">
        <v>20</v>
      </c>
      <c r="G92" s="1" t="s">
        <v>38</v>
      </c>
      <c r="H92" s="1">
        <v>350</v>
      </c>
      <c r="I92" s="1">
        <v>3</v>
      </c>
      <c r="J92" s="1">
        <v>0</v>
      </c>
      <c r="K92" s="1">
        <v>1050</v>
      </c>
      <c r="L92" s="1">
        <v>288.98</v>
      </c>
      <c r="M92" s="8">
        <f t="shared" ca="1" si="2"/>
        <v>46011.04483136574</v>
      </c>
      <c r="N92" s="9" t="str">
        <f t="shared" si="3"/>
        <v>Apr</v>
      </c>
    </row>
    <row r="93" spans="1:14" x14ac:dyDescent="0.3">
      <c r="A93" s="1">
        <v>1092</v>
      </c>
      <c r="B93" s="2">
        <v>45356</v>
      </c>
      <c r="C93" s="1" t="s">
        <v>46</v>
      </c>
      <c r="D93" s="1" t="s">
        <v>47</v>
      </c>
      <c r="E93" s="1" t="s">
        <v>14</v>
      </c>
      <c r="F93" s="1" t="s">
        <v>33</v>
      </c>
      <c r="G93" s="1" t="s">
        <v>34</v>
      </c>
      <c r="H93" s="1">
        <v>9500</v>
      </c>
      <c r="I93" s="1">
        <v>3</v>
      </c>
      <c r="J93" s="1">
        <v>0</v>
      </c>
      <c r="K93" s="1">
        <v>28500</v>
      </c>
      <c r="L93" s="1">
        <v>4337.1000000000004</v>
      </c>
      <c r="M93" s="8">
        <f t="shared" ca="1" si="2"/>
        <v>46011.04483136574</v>
      </c>
      <c r="N93" s="9" t="str">
        <f t="shared" si="3"/>
        <v>Mar</v>
      </c>
    </row>
    <row r="94" spans="1:14" x14ac:dyDescent="0.3">
      <c r="A94" s="1">
        <v>1093</v>
      </c>
      <c r="B94" s="2">
        <v>45309</v>
      </c>
      <c r="C94" s="1" t="s">
        <v>50</v>
      </c>
      <c r="D94" s="1" t="s">
        <v>51</v>
      </c>
      <c r="E94" s="1" t="s">
        <v>29</v>
      </c>
      <c r="F94" s="1" t="s">
        <v>15</v>
      </c>
      <c r="G94" s="1" t="s">
        <v>44</v>
      </c>
      <c r="H94" s="1">
        <v>18000</v>
      </c>
      <c r="I94" s="1">
        <v>4</v>
      </c>
      <c r="J94" s="1">
        <v>0.05</v>
      </c>
      <c r="K94" s="1">
        <v>68400</v>
      </c>
      <c r="L94" s="1">
        <v>20897.79</v>
      </c>
      <c r="M94" s="8">
        <f t="shared" ca="1" si="2"/>
        <v>46011.04483136574</v>
      </c>
      <c r="N94" s="9" t="str">
        <f t="shared" si="3"/>
        <v>Jan</v>
      </c>
    </row>
    <row r="95" spans="1:14" x14ac:dyDescent="0.3">
      <c r="A95" s="1">
        <v>1094</v>
      </c>
      <c r="B95" s="2">
        <v>45333</v>
      </c>
      <c r="C95" s="1" t="s">
        <v>12</v>
      </c>
      <c r="D95" s="1" t="s">
        <v>13</v>
      </c>
      <c r="E95" s="1" t="s">
        <v>29</v>
      </c>
      <c r="F95" s="1" t="s">
        <v>33</v>
      </c>
      <c r="G95" s="1" t="s">
        <v>52</v>
      </c>
      <c r="H95" s="1">
        <v>12000</v>
      </c>
      <c r="I95" s="1">
        <v>3</v>
      </c>
      <c r="J95" s="1">
        <v>0.15</v>
      </c>
      <c r="K95" s="1">
        <v>30600</v>
      </c>
      <c r="L95" s="1">
        <v>6092.35</v>
      </c>
      <c r="M95" s="8">
        <f t="shared" ca="1" si="2"/>
        <v>46011.04483136574</v>
      </c>
      <c r="N95" s="9" t="str">
        <f t="shared" si="3"/>
        <v>Feb</v>
      </c>
    </row>
    <row r="96" spans="1:14" x14ac:dyDescent="0.3">
      <c r="A96" s="1">
        <v>1095</v>
      </c>
      <c r="B96" s="2">
        <v>45457</v>
      </c>
      <c r="C96" s="1" t="s">
        <v>25</v>
      </c>
      <c r="D96" s="1" t="s">
        <v>26</v>
      </c>
      <c r="E96" s="1" t="s">
        <v>14</v>
      </c>
      <c r="F96" s="1" t="s">
        <v>15</v>
      </c>
      <c r="G96" s="1" t="s">
        <v>24</v>
      </c>
      <c r="H96" s="1">
        <v>22000</v>
      </c>
      <c r="I96" s="1">
        <v>2</v>
      </c>
      <c r="J96" s="1">
        <v>0.15</v>
      </c>
      <c r="K96" s="1">
        <v>37400</v>
      </c>
      <c r="L96" s="1">
        <v>7851.76</v>
      </c>
      <c r="M96" s="8">
        <f t="shared" ca="1" si="2"/>
        <v>46011.04483136574</v>
      </c>
      <c r="N96" s="9" t="str">
        <f t="shared" si="3"/>
        <v>Jun</v>
      </c>
    </row>
    <row r="97" spans="1:14" x14ac:dyDescent="0.3">
      <c r="A97" s="1">
        <v>1096</v>
      </c>
      <c r="B97" s="2">
        <v>45420</v>
      </c>
      <c r="C97" s="1" t="s">
        <v>36</v>
      </c>
      <c r="D97" s="1" t="s">
        <v>37</v>
      </c>
      <c r="E97" s="1" t="s">
        <v>14</v>
      </c>
      <c r="F97" s="1" t="s">
        <v>20</v>
      </c>
      <c r="G97" s="1" t="s">
        <v>38</v>
      </c>
      <c r="H97" s="1">
        <v>350</v>
      </c>
      <c r="I97" s="1">
        <v>4</v>
      </c>
      <c r="J97" s="1">
        <v>0.15</v>
      </c>
      <c r="K97" s="1">
        <v>1190</v>
      </c>
      <c r="L97" s="1">
        <v>397.65</v>
      </c>
      <c r="M97" s="8">
        <f t="shared" ca="1" si="2"/>
        <v>46011.04483136574</v>
      </c>
      <c r="N97" s="9" t="str">
        <f t="shared" si="3"/>
        <v>May</v>
      </c>
    </row>
    <row r="98" spans="1:14" x14ac:dyDescent="0.3">
      <c r="A98" s="1">
        <v>1097</v>
      </c>
      <c r="B98" s="2">
        <v>45422</v>
      </c>
      <c r="C98" s="1" t="s">
        <v>30</v>
      </c>
      <c r="D98" s="1" t="s">
        <v>31</v>
      </c>
      <c r="E98" s="1" t="s">
        <v>32</v>
      </c>
      <c r="F98" s="1" t="s">
        <v>33</v>
      </c>
      <c r="G98" s="1" t="s">
        <v>34</v>
      </c>
      <c r="H98" s="1">
        <v>9500</v>
      </c>
      <c r="I98" s="1">
        <v>1</v>
      </c>
      <c r="J98" s="1">
        <v>0.15</v>
      </c>
      <c r="K98" s="1">
        <v>8075</v>
      </c>
      <c r="L98" s="1">
        <v>2140.35</v>
      </c>
      <c r="M98" s="8">
        <f t="shared" ca="1" si="2"/>
        <v>46011.04483136574</v>
      </c>
      <c r="N98" s="9" t="str">
        <f t="shared" si="3"/>
        <v>May</v>
      </c>
    </row>
    <row r="99" spans="1:14" x14ac:dyDescent="0.3">
      <c r="A99" s="1">
        <v>1098</v>
      </c>
      <c r="B99" s="2">
        <v>45426</v>
      </c>
      <c r="C99" s="1" t="s">
        <v>48</v>
      </c>
      <c r="D99" s="1" t="s">
        <v>49</v>
      </c>
      <c r="E99" s="1" t="s">
        <v>32</v>
      </c>
      <c r="F99" s="1" t="s">
        <v>33</v>
      </c>
      <c r="G99" s="1" t="s">
        <v>43</v>
      </c>
      <c r="H99" s="1">
        <v>7500</v>
      </c>
      <c r="I99" s="1">
        <v>2</v>
      </c>
      <c r="J99" s="1">
        <v>0.05</v>
      </c>
      <c r="K99" s="1">
        <v>14250</v>
      </c>
      <c r="L99" s="1">
        <v>2536.5700000000002</v>
      </c>
      <c r="M99" s="8">
        <f t="shared" ca="1" si="2"/>
        <v>46011.04483136574</v>
      </c>
      <c r="N99" s="9" t="str">
        <f t="shared" si="3"/>
        <v>May</v>
      </c>
    </row>
    <row r="100" spans="1:14" x14ac:dyDescent="0.3">
      <c r="A100" s="1">
        <v>1099</v>
      </c>
      <c r="B100" s="2">
        <v>45336</v>
      </c>
      <c r="C100" s="1" t="s">
        <v>41</v>
      </c>
      <c r="D100" s="1" t="s">
        <v>42</v>
      </c>
      <c r="E100" s="1" t="s">
        <v>19</v>
      </c>
      <c r="F100" s="1" t="s">
        <v>15</v>
      </c>
      <c r="G100" s="1" t="s">
        <v>24</v>
      </c>
      <c r="H100" s="1">
        <v>22000</v>
      </c>
      <c r="I100" s="1">
        <v>1</v>
      </c>
      <c r="J100" s="1">
        <v>0</v>
      </c>
      <c r="K100" s="1">
        <v>22000</v>
      </c>
      <c r="L100" s="1">
        <v>6070.46</v>
      </c>
      <c r="M100" s="8">
        <f t="shared" ca="1" si="2"/>
        <v>46011.04483136574</v>
      </c>
      <c r="N100" s="9" t="str">
        <f t="shared" si="3"/>
        <v>Feb</v>
      </c>
    </row>
    <row r="101" spans="1:14" x14ac:dyDescent="0.3">
      <c r="A101" s="1">
        <v>1100</v>
      </c>
      <c r="B101" s="2">
        <v>45434</v>
      </c>
      <c r="C101" s="1" t="s">
        <v>25</v>
      </c>
      <c r="D101" s="1" t="s">
        <v>26</v>
      </c>
      <c r="E101" s="1" t="s">
        <v>19</v>
      </c>
      <c r="F101" s="1" t="s">
        <v>33</v>
      </c>
      <c r="G101" s="1" t="s">
        <v>43</v>
      </c>
      <c r="H101" s="1">
        <v>7500</v>
      </c>
      <c r="I101" s="1">
        <v>2</v>
      </c>
      <c r="J101" s="1">
        <v>0</v>
      </c>
      <c r="K101" s="1">
        <v>15000</v>
      </c>
      <c r="L101" s="1">
        <v>4862.07</v>
      </c>
      <c r="M101" s="8">
        <f t="shared" ca="1" si="2"/>
        <v>46011.04483136574</v>
      </c>
      <c r="N101" s="9" t="str">
        <f t="shared" si="3"/>
        <v>May</v>
      </c>
    </row>
    <row r="102" spans="1:14" x14ac:dyDescent="0.3">
      <c r="A102" s="1">
        <v>1101</v>
      </c>
      <c r="B102" s="2">
        <v>45455</v>
      </c>
      <c r="C102" s="1" t="s">
        <v>27</v>
      </c>
      <c r="D102" s="1" t="s">
        <v>28</v>
      </c>
      <c r="E102" s="1" t="s">
        <v>29</v>
      </c>
      <c r="F102" s="1" t="s">
        <v>33</v>
      </c>
      <c r="G102" s="1" t="s">
        <v>43</v>
      </c>
      <c r="H102" s="1">
        <v>7500</v>
      </c>
      <c r="I102" s="1">
        <v>3</v>
      </c>
      <c r="J102" s="1">
        <v>0.1</v>
      </c>
      <c r="K102" s="1">
        <v>20250</v>
      </c>
      <c r="L102" s="1">
        <v>3728.27</v>
      </c>
      <c r="M102" s="8">
        <f t="shared" ca="1" si="2"/>
        <v>46011.04483136574</v>
      </c>
      <c r="N102" s="9" t="str">
        <f t="shared" si="3"/>
        <v>Jun</v>
      </c>
    </row>
    <row r="103" spans="1:14" x14ac:dyDescent="0.3">
      <c r="A103" s="1">
        <v>1102</v>
      </c>
      <c r="B103" s="2">
        <v>45306</v>
      </c>
      <c r="C103" s="1" t="s">
        <v>39</v>
      </c>
      <c r="D103" s="1" t="s">
        <v>40</v>
      </c>
      <c r="E103" s="1" t="s">
        <v>14</v>
      </c>
      <c r="F103" s="1" t="s">
        <v>15</v>
      </c>
      <c r="G103" s="1" t="s">
        <v>16</v>
      </c>
      <c r="H103" s="1">
        <v>3000</v>
      </c>
      <c r="I103" s="1">
        <v>3</v>
      </c>
      <c r="J103" s="1">
        <v>0</v>
      </c>
      <c r="K103" s="1">
        <v>9000</v>
      </c>
      <c r="L103" s="1">
        <v>2652.36</v>
      </c>
      <c r="M103" s="8">
        <f t="shared" ca="1" si="2"/>
        <v>46011.04483136574</v>
      </c>
      <c r="N103" s="9" t="str">
        <f t="shared" si="3"/>
        <v>Jan</v>
      </c>
    </row>
    <row r="104" spans="1:14" x14ac:dyDescent="0.3">
      <c r="A104" s="1">
        <v>1103</v>
      </c>
      <c r="B104" s="2">
        <v>45430</v>
      </c>
      <c r="C104" s="1" t="s">
        <v>41</v>
      </c>
      <c r="D104" s="1" t="s">
        <v>42</v>
      </c>
      <c r="E104" s="1" t="s">
        <v>14</v>
      </c>
      <c r="F104" s="1" t="s">
        <v>33</v>
      </c>
      <c r="G104" s="1" t="s">
        <v>52</v>
      </c>
      <c r="H104" s="1">
        <v>12000</v>
      </c>
      <c r="I104" s="1">
        <v>4</v>
      </c>
      <c r="J104" s="1">
        <v>0.05</v>
      </c>
      <c r="K104" s="1">
        <v>45600</v>
      </c>
      <c r="L104" s="1">
        <v>7129.56</v>
      </c>
      <c r="M104" s="8">
        <f t="shared" ca="1" si="2"/>
        <v>46011.04483136574</v>
      </c>
      <c r="N104" s="9" t="str">
        <f t="shared" si="3"/>
        <v>May</v>
      </c>
    </row>
    <row r="105" spans="1:14" x14ac:dyDescent="0.3">
      <c r="A105" s="1">
        <v>1104</v>
      </c>
      <c r="B105" s="2">
        <v>45295</v>
      </c>
      <c r="C105" s="1" t="s">
        <v>27</v>
      </c>
      <c r="D105" s="1" t="s">
        <v>28</v>
      </c>
      <c r="E105" s="1" t="s">
        <v>19</v>
      </c>
      <c r="F105" s="1" t="s">
        <v>33</v>
      </c>
      <c r="G105" s="1" t="s">
        <v>43</v>
      </c>
      <c r="H105" s="1">
        <v>7500</v>
      </c>
      <c r="I105" s="1">
        <v>4</v>
      </c>
      <c r="J105" s="1">
        <v>0.05</v>
      </c>
      <c r="K105" s="1">
        <v>28500</v>
      </c>
      <c r="L105" s="1">
        <v>5439.46</v>
      </c>
      <c r="M105" s="8">
        <f t="shared" ca="1" si="2"/>
        <v>46011.04483136574</v>
      </c>
      <c r="N105" s="9" t="str">
        <f t="shared" si="3"/>
        <v>Jan</v>
      </c>
    </row>
    <row r="106" spans="1:14" x14ac:dyDescent="0.3">
      <c r="A106" s="1">
        <v>1105</v>
      </c>
      <c r="B106" s="2">
        <v>45366</v>
      </c>
      <c r="C106" s="1" t="s">
        <v>48</v>
      </c>
      <c r="D106" s="1" t="s">
        <v>49</v>
      </c>
      <c r="E106" s="1" t="s">
        <v>32</v>
      </c>
      <c r="F106" s="1" t="s">
        <v>15</v>
      </c>
      <c r="G106" s="1" t="s">
        <v>35</v>
      </c>
      <c r="H106" s="1">
        <v>55000</v>
      </c>
      <c r="I106" s="1">
        <v>2</v>
      </c>
      <c r="J106" s="1">
        <v>0.05</v>
      </c>
      <c r="K106" s="1">
        <v>104500</v>
      </c>
      <c r="L106" s="1">
        <v>21737.85</v>
      </c>
      <c r="M106" s="8">
        <f t="shared" ca="1" si="2"/>
        <v>46011.04483136574</v>
      </c>
      <c r="N106" s="9" t="str">
        <f t="shared" si="3"/>
        <v>Mar</v>
      </c>
    </row>
    <row r="107" spans="1:14" x14ac:dyDescent="0.3">
      <c r="A107" s="1">
        <v>1106</v>
      </c>
      <c r="B107" s="2">
        <v>45386</v>
      </c>
      <c r="C107" s="1" t="s">
        <v>12</v>
      </c>
      <c r="D107" s="1" t="s">
        <v>13</v>
      </c>
      <c r="E107" s="1" t="s">
        <v>14</v>
      </c>
      <c r="F107" s="1" t="s">
        <v>33</v>
      </c>
      <c r="G107" s="1" t="s">
        <v>52</v>
      </c>
      <c r="H107" s="1">
        <v>12000</v>
      </c>
      <c r="I107" s="1">
        <v>1</v>
      </c>
      <c r="J107" s="1">
        <v>0.15</v>
      </c>
      <c r="K107" s="1">
        <v>10200</v>
      </c>
      <c r="L107" s="1">
        <v>2395.67</v>
      </c>
      <c r="M107" s="8">
        <f t="shared" ca="1" si="2"/>
        <v>46011.04483136574</v>
      </c>
      <c r="N107" s="9" t="str">
        <f t="shared" si="3"/>
        <v>Apr</v>
      </c>
    </row>
    <row r="108" spans="1:14" x14ac:dyDescent="0.3">
      <c r="A108" s="1">
        <v>1107</v>
      </c>
      <c r="B108" s="2">
        <v>45299</v>
      </c>
      <c r="C108" s="1" t="s">
        <v>17</v>
      </c>
      <c r="D108" s="1" t="s">
        <v>18</v>
      </c>
      <c r="E108" s="1" t="s">
        <v>14</v>
      </c>
      <c r="F108" s="1" t="s">
        <v>15</v>
      </c>
      <c r="G108" s="1" t="s">
        <v>16</v>
      </c>
      <c r="H108" s="1">
        <v>3000</v>
      </c>
      <c r="I108" s="1">
        <v>3</v>
      </c>
      <c r="J108" s="1">
        <v>0.15</v>
      </c>
      <c r="K108" s="1">
        <v>7650</v>
      </c>
      <c r="L108" s="1">
        <v>1382.9</v>
      </c>
      <c r="M108" s="8">
        <f t="shared" ca="1" si="2"/>
        <v>46011.04483136574</v>
      </c>
      <c r="N108" s="9" t="str">
        <f t="shared" si="3"/>
        <v>Jan</v>
      </c>
    </row>
    <row r="109" spans="1:14" x14ac:dyDescent="0.3">
      <c r="A109" s="1">
        <v>1108</v>
      </c>
      <c r="B109" s="2">
        <v>45397</v>
      </c>
      <c r="C109" s="1" t="s">
        <v>41</v>
      </c>
      <c r="D109" s="1" t="s">
        <v>42</v>
      </c>
      <c r="E109" s="1" t="s">
        <v>29</v>
      </c>
      <c r="F109" s="1" t="s">
        <v>20</v>
      </c>
      <c r="G109" s="1" t="s">
        <v>38</v>
      </c>
      <c r="H109" s="1">
        <v>350</v>
      </c>
      <c r="I109" s="1">
        <v>2</v>
      </c>
      <c r="J109" s="1">
        <v>0.1</v>
      </c>
      <c r="K109" s="1">
        <v>630</v>
      </c>
      <c r="L109" s="1">
        <v>172.08</v>
      </c>
      <c r="M109" s="8">
        <f t="shared" ca="1" si="2"/>
        <v>46011.04483136574</v>
      </c>
      <c r="N109" s="9" t="str">
        <f t="shared" si="3"/>
        <v>Apr</v>
      </c>
    </row>
    <row r="110" spans="1:14" x14ac:dyDescent="0.3">
      <c r="A110" s="1">
        <v>1109</v>
      </c>
      <c r="B110" s="2">
        <v>45422</v>
      </c>
      <c r="C110" s="1" t="s">
        <v>46</v>
      </c>
      <c r="D110" s="1" t="s">
        <v>47</v>
      </c>
      <c r="E110" s="1" t="s">
        <v>29</v>
      </c>
      <c r="F110" s="1" t="s">
        <v>15</v>
      </c>
      <c r="G110" s="1" t="s">
        <v>16</v>
      </c>
      <c r="H110" s="1">
        <v>3000</v>
      </c>
      <c r="I110" s="1">
        <v>3</v>
      </c>
      <c r="J110" s="1">
        <v>0.1</v>
      </c>
      <c r="K110" s="1">
        <v>8100</v>
      </c>
      <c r="L110" s="1">
        <v>2295.8000000000002</v>
      </c>
      <c r="M110" s="8">
        <f t="shared" ca="1" si="2"/>
        <v>46011.04483136574</v>
      </c>
      <c r="N110" s="9" t="str">
        <f t="shared" si="3"/>
        <v>May</v>
      </c>
    </row>
    <row r="111" spans="1:14" x14ac:dyDescent="0.3">
      <c r="A111" s="1">
        <v>1110</v>
      </c>
      <c r="B111" s="2">
        <v>45416</v>
      </c>
      <c r="C111" s="1" t="s">
        <v>30</v>
      </c>
      <c r="D111" s="1" t="s">
        <v>31</v>
      </c>
      <c r="E111" s="1" t="s">
        <v>19</v>
      </c>
      <c r="F111" s="1" t="s">
        <v>15</v>
      </c>
      <c r="G111" s="1" t="s">
        <v>16</v>
      </c>
      <c r="H111" s="1">
        <v>3000</v>
      </c>
      <c r="I111" s="1">
        <v>1</v>
      </c>
      <c r="J111" s="1">
        <v>0.1</v>
      </c>
      <c r="K111" s="1">
        <v>2700</v>
      </c>
      <c r="L111" s="1">
        <v>701.53</v>
      </c>
      <c r="M111" s="8">
        <f t="shared" ca="1" si="2"/>
        <v>46011.04483136574</v>
      </c>
      <c r="N111" s="9" t="str">
        <f t="shared" si="3"/>
        <v>May</v>
      </c>
    </row>
    <row r="112" spans="1:14" x14ac:dyDescent="0.3">
      <c r="A112" s="1">
        <v>1111</v>
      </c>
      <c r="B112" s="2">
        <v>45319</v>
      </c>
      <c r="C112" s="1" t="s">
        <v>39</v>
      </c>
      <c r="D112" s="1" t="s">
        <v>40</v>
      </c>
      <c r="E112" s="1" t="s">
        <v>32</v>
      </c>
      <c r="F112" s="1" t="s">
        <v>20</v>
      </c>
      <c r="G112" s="1" t="s">
        <v>45</v>
      </c>
      <c r="H112" s="1">
        <v>500</v>
      </c>
      <c r="I112" s="1">
        <v>3</v>
      </c>
      <c r="J112" s="1">
        <v>0</v>
      </c>
      <c r="K112" s="1">
        <v>1500</v>
      </c>
      <c r="L112" s="1">
        <v>363.08</v>
      </c>
      <c r="M112" s="8">
        <f t="shared" ca="1" si="2"/>
        <v>46011.04483136574</v>
      </c>
      <c r="N112" s="9" t="str">
        <f t="shared" si="3"/>
        <v>Jan</v>
      </c>
    </row>
    <row r="113" spans="1:14" x14ac:dyDescent="0.3">
      <c r="A113" s="1">
        <v>1112</v>
      </c>
      <c r="B113" s="2">
        <v>45337</v>
      </c>
      <c r="C113" s="1" t="s">
        <v>46</v>
      </c>
      <c r="D113" s="1" t="s">
        <v>47</v>
      </c>
      <c r="E113" s="1" t="s">
        <v>32</v>
      </c>
      <c r="F113" s="1" t="s">
        <v>15</v>
      </c>
      <c r="G113" s="1" t="s">
        <v>35</v>
      </c>
      <c r="H113" s="1">
        <v>55000</v>
      </c>
      <c r="I113" s="1">
        <v>2</v>
      </c>
      <c r="J113" s="1">
        <v>0.05</v>
      </c>
      <c r="K113" s="1">
        <v>104500</v>
      </c>
      <c r="L113" s="1">
        <v>21385.64</v>
      </c>
      <c r="M113" s="8">
        <f t="shared" ca="1" si="2"/>
        <v>46011.04483136574</v>
      </c>
      <c r="N113" s="9" t="str">
        <f t="shared" si="3"/>
        <v>Feb</v>
      </c>
    </row>
    <row r="114" spans="1:14" x14ac:dyDescent="0.3">
      <c r="A114" s="1">
        <v>1113</v>
      </c>
      <c r="B114" s="2">
        <v>45459</v>
      </c>
      <c r="C114" s="1" t="s">
        <v>39</v>
      </c>
      <c r="D114" s="1" t="s">
        <v>40</v>
      </c>
      <c r="E114" s="1" t="s">
        <v>19</v>
      </c>
      <c r="F114" s="1" t="s">
        <v>20</v>
      </c>
      <c r="G114" s="1" t="s">
        <v>21</v>
      </c>
      <c r="H114" s="1">
        <v>200</v>
      </c>
      <c r="I114" s="1">
        <v>5</v>
      </c>
      <c r="J114" s="1">
        <v>0</v>
      </c>
      <c r="K114" s="1">
        <v>1000</v>
      </c>
      <c r="L114" s="1">
        <v>232.21</v>
      </c>
      <c r="M114" s="8">
        <f t="shared" ca="1" si="2"/>
        <v>46011.04483136574</v>
      </c>
      <c r="N114" s="9" t="str">
        <f t="shared" si="3"/>
        <v>Jun</v>
      </c>
    </row>
    <row r="115" spans="1:14" x14ac:dyDescent="0.3">
      <c r="A115" s="1">
        <v>1114</v>
      </c>
      <c r="B115" s="2">
        <v>45389</v>
      </c>
      <c r="C115" s="1" t="s">
        <v>27</v>
      </c>
      <c r="D115" s="1" t="s">
        <v>28</v>
      </c>
      <c r="E115" s="1" t="s">
        <v>32</v>
      </c>
      <c r="F115" s="1" t="s">
        <v>20</v>
      </c>
      <c r="G115" s="1" t="s">
        <v>21</v>
      </c>
      <c r="H115" s="1">
        <v>200</v>
      </c>
      <c r="I115" s="1">
        <v>5</v>
      </c>
      <c r="J115" s="1">
        <v>0</v>
      </c>
      <c r="K115" s="1">
        <v>1000</v>
      </c>
      <c r="L115" s="1">
        <v>290.18</v>
      </c>
      <c r="M115" s="8">
        <f t="shared" ca="1" si="2"/>
        <v>46011.04483136574</v>
      </c>
      <c r="N115" s="9" t="str">
        <f t="shared" si="3"/>
        <v>Apr</v>
      </c>
    </row>
    <row r="116" spans="1:14" x14ac:dyDescent="0.3">
      <c r="A116" s="1">
        <v>1115</v>
      </c>
      <c r="B116" s="2">
        <v>45309</v>
      </c>
      <c r="C116" s="1" t="s">
        <v>50</v>
      </c>
      <c r="D116" s="1" t="s">
        <v>51</v>
      </c>
      <c r="E116" s="1" t="s">
        <v>29</v>
      </c>
      <c r="F116" s="1" t="s">
        <v>33</v>
      </c>
      <c r="G116" s="1" t="s">
        <v>43</v>
      </c>
      <c r="H116" s="1">
        <v>7500</v>
      </c>
      <c r="I116" s="1">
        <v>4</v>
      </c>
      <c r="J116" s="1">
        <v>0</v>
      </c>
      <c r="K116" s="1">
        <v>30000</v>
      </c>
      <c r="L116" s="1">
        <v>8049.26</v>
      </c>
      <c r="M116" s="8">
        <f t="shared" ca="1" si="2"/>
        <v>46011.04483136574</v>
      </c>
      <c r="N116" s="9" t="str">
        <f t="shared" si="3"/>
        <v>Jan</v>
      </c>
    </row>
    <row r="117" spans="1:14" x14ac:dyDescent="0.3">
      <c r="A117" s="1">
        <v>1116</v>
      </c>
      <c r="B117" s="2">
        <v>45443</v>
      </c>
      <c r="C117" s="1" t="s">
        <v>12</v>
      </c>
      <c r="D117" s="1" t="s">
        <v>13</v>
      </c>
      <c r="E117" s="1" t="s">
        <v>29</v>
      </c>
      <c r="F117" s="1" t="s">
        <v>33</v>
      </c>
      <c r="G117" s="1" t="s">
        <v>52</v>
      </c>
      <c r="H117" s="1">
        <v>12000</v>
      </c>
      <c r="I117" s="1">
        <v>5</v>
      </c>
      <c r="J117" s="1">
        <v>0</v>
      </c>
      <c r="K117" s="1">
        <v>60000</v>
      </c>
      <c r="L117" s="1">
        <v>18314.650000000001</v>
      </c>
      <c r="M117" s="8">
        <f t="shared" ca="1" si="2"/>
        <v>46011.04483136574</v>
      </c>
      <c r="N117" s="9" t="str">
        <f t="shared" si="3"/>
        <v>May</v>
      </c>
    </row>
    <row r="118" spans="1:14" x14ac:dyDescent="0.3">
      <c r="A118" s="1">
        <v>1117</v>
      </c>
      <c r="B118" s="2">
        <v>45443</v>
      </c>
      <c r="C118" s="1" t="s">
        <v>50</v>
      </c>
      <c r="D118" s="1" t="s">
        <v>51</v>
      </c>
      <c r="E118" s="1" t="s">
        <v>29</v>
      </c>
      <c r="F118" s="1" t="s">
        <v>15</v>
      </c>
      <c r="G118" s="1" t="s">
        <v>16</v>
      </c>
      <c r="H118" s="1">
        <v>3000</v>
      </c>
      <c r="I118" s="1">
        <v>2</v>
      </c>
      <c r="J118" s="1">
        <v>0.05</v>
      </c>
      <c r="K118" s="1">
        <v>5700</v>
      </c>
      <c r="L118" s="1">
        <v>866.56</v>
      </c>
      <c r="M118" s="8">
        <f t="shared" ca="1" si="2"/>
        <v>46011.04483136574</v>
      </c>
      <c r="N118" s="9" t="str">
        <f t="shared" si="3"/>
        <v>May</v>
      </c>
    </row>
    <row r="119" spans="1:14" x14ac:dyDescent="0.3">
      <c r="A119" s="1">
        <v>1118</v>
      </c>
      <c r="B119" s="2">
        <v>45452</v>
      </c>
      <c r="C119" s="1" t="s">
        <v>30</v>
      </c>
      <c r="D119" s="1" t="s">
        <v>31</v>
      </c>
      <c r="E119" s="1" t="s">
        <v>19</v>
      </c>
      <c r="F119" s="1" t="s">
        <v>20</v>
      </c>
      <c r="G119" s="1" t="s">
        <v>38</v>
      </c>
      <c r="H119" s="1">
        <v>350</v>
      </c>
      <c r="I119" s="1">
        <v>3</v>
      </c>
      <c r="J119" s="1">
        <v>0.1</v>
      </c>
      <c r="K119" s="1">
        <v>945</v>
      </c>
      <c r="L119" s="1">
        <v>182.29</v>
      </c>
      <c r="M119" s="8">
        <f t="shared" ca="1" si="2"/>
        <v>46011.04483136574</v>
      </c>
      <c r="N119" s="9" t="str">
        <f t="shared" si="3"/>
        <v>Jun</v>
      </c>
    </row>
    <row r="120" spans="1:14" x14ac:dyDescent="0.3">
      <c r="A120" s="1">
        <v>1119</v>
      </c>
      <c r="B120" s="2">
        <v>45377</v>
      </c>
      <c r="C120" s="1" t="s">
        <v>39</v>
      </c>
      <c r="D120" s="1" t="s">
        <v>40</v>
      </c>
      <c r="E120" s="1" t="s">
        <v>32</v>
      </c>
      <c r="F120" s="1" t="s">
        <v>33</v>
      </c>
      <c r="G120" s="1" t="s">
        <v>34</v>
      </c>
      <c r="H120" s="1">
        <v>9500</v>
      </c>
      <c r="I120" s="1">
        <v>5</v>
      </c>
      <c r="J120" s="1">
        <v>0.15</v>
      </c>
      <c r="K120" s="1">
        <v>40375</v>
      </c>
      <c r="L120" s="1">
        <v>6824.97</v>
      </c>
      <c r="M120" s="8">
        <f t="shared" ca="1" si="2"/>
        <v>46011.04483136574</v>
      </c>
      <c r="N120" s="9" t="str">
        <f t="shared" si="3"/>
        <v>Mar</v>
      </c>
    </row>
    <row r="121" spans="1:14" x14ac:dyDescent="0.3">
      <c r="A121" s="1">
        <v>1120</v>
      </c>
      <c r="B121" s="2">
        <v>45403</v>
      </c>
      <c r="C121" s="1" t="s">
        <v>39</v>
      </c>
      <c r="D121" s="1" t="s">
        <v>40</v>
      </c>
      <c r="E121" s="1" t="s">
        <v>14</v>
      </c>
      <c r="F121" s="1" t="s">
        <v>33</v>
      </c>
      <c r="G121" s="1" t="s">
        <v>52</v>
      </c>
      <c r="H121" s="1">
        <v>12000</v>
      </c>
      <c r="I121" s="1">
        <v>2</v>
      </c>
      <c r="J121" s="1">
        <v>0.05</v>
      </c>
      <c r="K121" s="1">
        <v>22800</v>
      </c>
      <c r="L121" s="1">
        <v>7466.89</v>
      </c>
      <c r="M121" s="8">
        <f t="shared" ca="1" si="2"/>
        <v>46011.04483136574</v>
      </c>
      <c r="N121" s="9" t="str">
        <f t="shared" si="3"/>
        <v>Apr</v>
      </c>
    </row>
    <row r="122" spans="1:14" x14ac:dyDescent="0.3">
      <c r="A122" s="1">
        <v>1121</v>
      </c>
      <c r="B122" s="2">
        <v>45437</v>
      </c>
      <c r="C122" s="1" t="s">
        <v>39</v>
      </c>
      <c r="D122" s="1" t="s">
        <v>40</v>
      </c>
      <c r="E122" s="1" t="s">
        <v>29</v>
      </c>
      <c r="F122" s="1" t="s">
        <v>20</v>
      </c>
      <c r="G122" s="1" t="s">
        <v>45</v>
      </c>
      <c r="H122" s="1">
        <v>500</v>
      </c>
      <c r="I122" s="1">
        <v>1</v>
      </c>
      <c r="J122" s="1">
        <v>0</v>
      </c>
      <c r="K122" s="1">
        <v>500</v>
      </c>
      <c r="L122" s="1">
        <v>121.31</v>
      </c>
      <c r="M122" s="8">
        <f t="shared" ca="1" si="2"/>
        <v>46011.04483136574</v>
      </c>
      <c r="N122" s="9" t="str">
        <f t="shared" si="3"/>
        <v>May</v>
      </c>
    </row>
    <row r="123" spans="1:14" x14ac:dyDescent="0.3">
      <c r="A123" s="1">
        <v>1122</v>
      </c>
      <c r="B123" s="2">
        <v>45390</v>
      </c>
      <c r="C123" s="1" t="s">
        <v>36</v>
      </c>
      <c r="D123" s="1" t="s">
        <v>37</v>
      </c>
      <c r="E123" s="1" t="s">
        <v>14</v>
      </c>
      <c r="F123" s="1" t="s">
        <v>20</v>
      </c>
      <c r="G123" s="1" t="s">
        <v>21</v>
      </c>
      <c r="H123" s="1">
        <v>200</v>
      </c>
      <c r="I123" s="1">
        <v>2</v>
      </c>
      <c r="J123" s="1">
        <v>0.1</v>
      </c>
      <c r="K123" s="1">
        <v>360</v>
      </c>
      <c r="L123" s="1">
        <v>125.5</v>
      </c>
      <c r="M123" s="8">
        <f t="shared" ca="1" si="2"/>
        <v>46011.04483136574</v>
      </c>
      <c r="N123" s="9" t="str">
        <f t="shared" si="3"/>
        <v>Apr</v>
      </c>
    </row>
    <row r="124" spans="1:14" x14ac:dyDescent="0.3">
      <c r="A124" s="1">
        <v>1123</v>
      </c>
      <c r="B124" s="2">
        <v>45447</v>
      </c>
      <c r="C124" s="1" t="s">
        <v>25</v>
      </c>
      <c r="D124" s="1" t="s">
        <v>26</v>
      </c>
      <c r="E124" s="1" t="s">
        <v>32</v>
      </c>
      <c r="F124" s="1" t="s">
        <v>15</v>
      </c>
      <c r="G124" s="1" t="s">
        <v>35</v>
      </c>
      <c r="H124" s="1">
        <v>55000</v>
      </c>
      <c r="I124" s="1">
        <v>1</v>
      </c>
      <c r="J124" s="1">
        <v>0</v>
      </c>
      <c r="K124" s="1">
        <v>55000</v>
      </c>
      <c r="L124" s="1">
        <v>8624.99</v>
      </c>
      <c r="M124" s="8">
        <f t="shared" ca="1" si="2"/>
        <v>46011.04483136574</v>
      </c>
      <c r="N124" s="9" t="str">
        <f t="shared" si="3"/>
        <v>Jun</v>
      </c>
    </row>
    <row r="125" spans="1:14" x14ac:dyDescent="0.3">
      <c r="A125" s="1">
        <v>1124</v>
      </c>
      <c r="B125" s="2">
        <v>45380</v>
      </c>
      <c r="C125" s="1" t="s">
        <v>39</v>
      </c>
      <c r="D125" s="1" t="s">
        <v>40</v>
      </c>
      <c r="E125" s="1" t="s">
        <v>29</v>
      </c>
      <c r="F125" s="1" t="s">
        <v>20</v>
      </c>
      <c r="G125" s="1" t="s">
        <v>45</v>
      </c>
      <c r="H125" s="1">
        <v>500</v>
      </c>
      <c r="I125" s="1">
        <v>4</v>
      </c>
      <c r="J125" s="1">
        <v>0</v>
      </c>
      <c r="K125" s="1">
        <v>2000</v>
      </c>
      <c r="L125" s="1">
        <v>542.97</v>
      </c>
      <c r="M125" s="8">
        <f t="shared" ca="1" si="2"/>
        <v>46011.04483136574</v>
      </c>
      <c r="N125" s="9" t="str">
        <f t="shared" si="3"/>
        <v>Mar</v>
      </c>
    </row>
    <row r="126" spans="1:14" x14ac:dyDescent="0.3">
      <c r="A126" s="1">
        <v>1125</v>
      </c>
      <c r="B126" s="2">
        <v>45446</v>
      </c>
      <c r="C126" s="1" t="s">
        <v>12</v>
      </c>
      <c r="D126" s="1" t="s">
        <v>13</v>
      </c>
      <c r="E126" s="1" t="s">
        <v>32</v>
      </c>
      <c r="F126" s="1" t="s">
        <v>33</v>
      </c>
      <c r="G126" s="1" t="s">
        <v>43</v>
      </c>
      <c r="H126" s="1">
        <v>7500</v>
      </c>
      <c r="I126" s="1">
        <v>2</v>
      </c>
      <c r="J126" s="1">
        <v>0</v>
      </c>
      <c r="K126" s="1">
        <v>15000</v>
      </c>
      <c r="L126" s="1">
        <v>3771.21</v>
      </c>
      <c r="M126" s="8">
        <f t="shared" ca="1" si="2"/>
        <v>46011.04483136574</v>
      </c>
      <c r="N126" s="9" t="str">
        <f t="shared" si="3"/>
        <v>Jun</v>
      </c>
    </row>
    <row r="127" spans="1:14" x14ac:dyDescent="0.3">
      <c r="A127" s="1">
        <v>1126</v>
      </c>
      <c r="B127" s="2">
        <v>45345</v>
      </c>
      <c r="C127" s="1" t="s">
        <v>22</v>
      </c>
      <c r="D127" s="1" t="s">
        <v>23</v>
      </c>
      <c r="E127" s="1" t="s">
        <v>29</v>
      </c>
      <c r="F127" s="1" t="s">
        <v>33</v>
      </c>
      <c r="G127" s="1" t="s">
        <v>52</v>
      </c>
      <c r="H127" s="1">
        <v>12000</v>
      </c>
      <c r="I127" s="1">
        <v>5</v>
      </c>
      <c r="J127" s="1">
        <v>0.05</v>
      </c>
      <c r="K127" s="1">
        <v>57000</v>
      </c>
      <c r="L127" s="1">
        <v>12953.99</v>
      </c>
      <c r="M127" s="8">
        <f t="shared" ca="1" si="2"/>
        <v>46011.04483136574</v>
      </c>
      <c r="N127" s="9" t="str">
        <f t="shared" si="3"/>
        <v>Feb</v>
      </c>
    </row>
    <row r="128" spans="1:14" x14ac:dyDescent="0.3">
      <c r="A128" s="1">
        <v>1127</v>
      </c>
      <c r="B128" s="2">
        <v>45425</v>
      </c>
      <c r="C128" s="1" t="s">
        <v>46</v>
      </c>
      <c r="D128" s="1" t="s">
        <v>47</v>
      </c>
      <c r="E128" s="1" t="s">
        <v>32</v>
      </c>
      <c r="F128" s="1" t="s">
        <v>15</v>
      </c>
      <c r="G128" s="1" t="s">
        <v>35</v>
      </c>
      <c r="H128" s="1">
        <v>55000</v>
      </c>
      <c r="I128" s="1">
        <v>3</v>
      </c>
      <c r="J128" s="1">
        <v>0</v>
      </c>
      <c r="K128" s="1">
        <v>165000</v>
      </c>
      <c r="L128" s="1">
        <v>32705.49</v>
      </c>
      <c r="M128" s="8">
        <f t="shared" ca="1" si="2"/>
        <v>46011.04483136574</v>
      </c>
      <c r="N128" s="9" t="str">
        <f t="shared" si="3"/>
        <v>May</v>
      </c>
    </row>
    <row r="129" spans="1:14" x14ac:dyDescent="0.3">
      <c r="A129" s="1">
        <v>1128</v>
      </c>
      <c r="B129" s="2">
        <v>45440</v>
      </c>
      <c r="C129" s="1" t="s">
        <v>39</v>
      </c>
      <c r="D129" s="1" t="s">
        <v>40</v>
      </c>
      <c r="E129" s="1" t="s">
        <v>29</v>
      </c>
      <c r="F129" s="1" t="s">
        <v>33</v>
      </c>
      <c r="G129" s="1" t="s">
        <v>52</v>
      </c>
      <c r="H129" s="1">
        <v>12000</v>
      </c>
      <c r="I129" s="1">
        <v>2</v>
      </c>
      <c r="J129" s="1">
        <v>0.15</v>
      </c>
      <c r="K129" s="1">
        <v>20400</v>
      </c>
      <c r="L129" s="1">
        <v>3984.49</v>
      </c>
      <c r="M129" s="8">
        <f t="shared" ca="1" si="2"/>
        <v>46011.04483136574</v>
      </c>
      <c r="N129" s="9" t="str">
        <f t="shared" si="3"/>
        <v>May</v>
      </c>
    </row>
    <row r="130" spans="1:14" x14ac:dyDescent="0.3">
      <c r="A130" s="1">
        <v>1129</v>
      </c>
      <c r="B130" s="2">
        <v>45423</v>
      </c>
      <c r="C130" s="1" t="s">
        <v>25</v>
      </c>
      <c r="D130" s="1" t="s">
        <v>26</v>
      </c>
      <c r="E130" s="1" t="s">
        <v>14</v>
      </c>
      <c r="F130" s="1" t="s">
        <v>20</v>
      </c>
      <c r="G130" s="1" t="s">
        <v>21</v>
      </c>
      <c r="H130" s="1">
        <v>200</v>
      </c>
      <c r="I130" s="1">
        <v>4</v>
      </c>
      <c r="J130" s="1">
        <v>0.05</v>
      </c>
      <c r="K130" s="1">
        <v>760</v>
      </c>
      <c r="L130" s="1">
        <v>212.6</v>
      </c>
      <c r="M130" s="8">
        <f t="shared" ca="1" si="2"/>
        <v>46011.04483136574</v>
      </c>
      <c r="N130" s="9" t="str">
        <f t="shared" si="3"/>
        <v>May</v>
      </c>
    </row>
    <row r="131" spans="1:14" x14ac:dyDescent="0.3">
      <c r="A131" s="1">
        <v>1130</v>
      </c>
      <c r="B131" s="2">
        <v>45400</v>
      </c>
      <c r="C131" s="1" t="s">
        <v>22</v>
      </c>
      <c r="D131" s="1" t="s">
        <v>23</v>
      </c>
      <c r="E131" s="1" t="s">
        <v>14</v>
      </c>
      <c r="F131" s="1" t="s">
        <v>20</v>
      </c>
      <c r="G131" s="1" t="s">
        <v>45</v>
      </c>
      <c r="H131" s="1">
        <v>500</v>
      </c>
      <c r="I131" s="1">
        <v>1</v>
      </c>
      <c r="J131" s="1">
        <v>0.1</v>
      </c>
      <c r="K131" s="1">
        <v>450</v>
      </c>
      <c r="L131" s="1">
        <v>94.7</v>
      </c>
      <c r="M131" s="8">
        <f t="shared" ref="M131:M194" ca="1" si="4">NOW()</f>
        <v>46011.04483136574</v>
      </c>
      <c r="N131" s="9" t="str">
        <f t="shared" ref="N131:N194" si="5">TEXT(B131,"mmm")</f>
        <v>Apr</v>
      </c>
    </row>
    <row r="132" spans="1:14" x14ac:dyDescent="0.3">
      <c r="A132" s="1">
        <v>1131</v>
      </c>
      <c r="B132" s="2">
        <v>45429</v>
      </c>
      <c r="C132" s="1" t="s">
        <v>39</v>
      </c>
      <c r="D132" s="1" t="s">
        <v>40</v>
      </c>
      <c r="E132" s="1" t="s">
        <v>29</v>
      </c>
      <c r="F132" s="1" t="s">
        <v>15</v>
      </c>
      <c r="G132" s="1" t="s">
        <v>16</v>
      </c>
      <c r="H132" s="1">
        <v>3000</v>
      </c>
      <c r="I132" s="1">
        <v>3</v>
      </c>
      <c r="J132" s="1">
        <v>0</v>
      </c>
      <c r="K132" s="1">
        <v>9000</v>
      </c>
      <c r="L132" s="1">
        <v>1998.46</v>
      </c>
      <c r="M132" s="8">
        <f t="shared" ca="1" si="4"/>
        <v>46011.04483136574</v>
      </c>
      <c r="N132" s="9" t="str">
        <f t="shared" si="5"/>
        <v>May</v>
      </c>
    </row>
    <row r="133" spans="1:14" x14ac:dyDescent="0.3">
      <c r="A133" s="1">
        <v>1132</v>
      </c>
      <c r="B133" s="2">
        <v>45298</v>
      </c>
      <c r="C133" s="1" t="s">
        <v>46</v>
      </c>
      <c r="D133" s="1" t="s">
        <v>47</v>
      </c>
      <c r="E133" s="1" t="s">
        <v>14</v>
      </c>
      <c r="F133" s="1" t="s">
        <v>20</v>
      </c>
      <c r="G133" s="1" t="s">
        <v>45</v>
      </c>
      <c r="H133" s="1">
        <v>500</v>
      </c>
      <c r="I133" s="1">
        <v>3</v>
      </c>
      <c r="J133" s="1">
        <v>0.1</v>
      </c>
      <c r="K133" s="1">
        <v>1350</v>
      </c>
      <c r="L133" s="1">
        <v>351.77</v>
      </c>
      <c r="M133" s="8">
        <f t="shared" ca="1" si="4"/>
        <v>46011.04483136574</v>
      </c>
      <c r="N133" s="9" t="str">
        <f t="shared" si="5"/>
        <v>Jan</v>
      </c>
    </row>
    <row r="134" spans="1:14" x14ac:dyDescent="0.3">
      <c r="A134" s="1">
        <v>1133</v>
      </c>
      <c r="B134" s="2">
        <v>45406</v>
      </c>
      <c r="C134" s="1" t="s">
        <v>30</v>
      </c>
      <c r="D134" s="1" t="s">
        <v>31</v>
      </c>
      <c r="E134" s="1" t="s">
        <v>14</v>
      </c>
      <c r="F134" s="1" t="s">
        <v>15</v>
      </c>
      <c r="G134" s="1" t="s">
        <v>16</v>
      </c>
      <c r="H134" s="1">
        <v>3000</v>
      </c>
      <c r="I134" s="1">
        <v>3</v>
      </c>
      <c r="J134" s="1">
        <v>0.05</v>
      </c>
      <c r="K134" s="1">
        <v>8550</v>
      </c>
      <c r="L134" s="1">
        <v>2694.23</v>
      </c>
      <c r="M134" s="8">
        <f t="shared" ca="1" si="4"/>
        <v>46011.04483136574</v>
      </c>
      <c r="N134" s="9" t="str">
        <f t="shared" si="5"/>
        <v>Apr</v>
      </c>
    </row>
    <row r="135" spans="1:14" x14ac:dyDescent="0.3">
      <c r="A135" s="1">
        <v>1134</v>
      </c>
      <c r="B135" s="2">
        <v>45447</v>
      </c>
      <c r="C135" s="1" t="s">
        <v>41</v>
      </c>
      <c r="D135" s="1" t="s">
        <v>42</v>
      </c>
      <c r="E135" s="1" t="s">
        <v>19</v>
      </c>
      <c r="F135" s="1" t="s">
        <v>33</v>
      </c>
      <c r="G135" s="1" t="s">
        <v>43</v>
      </c>
      <c r="H135" s="1">
        <v>7500</v>
      </c>
      <c r="I135" s="1">
        <v>1</v>
      </c>
      <c r="J135" s="1">
        <v>0</v>
      </c>
      <c r="K135" s="1">
        <v>7500</v>
      </c>
      <c r="L135" s="1">
        <v>2386.54</v>
      </c>
      <c r="M135" s="8">
        <f t="shared" ca="1" si="4"/>
        <v>46011.04483136574</v>
      </c>
      <c r="N135" s="9" t="str">
        <f t="shared" si="5"/>
        <v>Jun</v>
      </c>
    </row>
    <row r="136" spans="1:14" x14ac:dyDescent="0.3">
      <c r="A136" s="1">
        <v>1135</v>
      </c>
      <c r="B136" s="2">
        <v>45452</v>
      </c>
      <c r="C136" s="1" t="s">
        <v>30</v>
      </c>
      <c r="D136" s="1" t="s">
        <v>31</v>
      </c>
      <c r="E136" s="1" t="s">
        <v>32</v>
      </c>
      <c r="F136" s="1" t="s">
        <v>33</v>
      </c>
      <c r="G136" s="1" t="s">
        <v>34</v>
      </c>
      <c r="H136" s="1">
        <v>9500</v>
      </c>
      <c r="I136" s="1">
        <v>3</v>
      </c>
      <c r="J136" s="1">
        <v>0</v>
      </c>
      <c r="K136" s="1">
        <v>28500</v>
      </c>
      <c r="L136" s="1">
        <v>5356.75</v>
      </c>
      <c r="M136" s="8">
        <f t="shared" ca="1" si="4"/>
        <v>46011.04483136574</v>
      </c>
      <c r="N136" s="9" t="str">
        <f t="shared" si="5"/>
        <v>Jun</v>
      </c>
    </row>
    <row r="137" spans="1:14" x14ac:dyDescent="0.3">
      <c r="A137" s="1">
        <v>1136</v>
      </c>
      <c r="B137" s="2">
        <v>45389</v>
      </c>
      <c r="C137" s="1" t="s">
        <v>17</v>
      </c>
      <c r="D137" s="1" t="s">
        <v>18</v>
      </c>
      <c r="E137" s="1" t="s">
        <v>14</v>
      </c>
      <c r="F137" s="1" t="s">
        <v>20</v>
      </c>
      <c r="G137" s="1" t="s">
        <v>21</v>
      </c>
      <c r="H137" s="1">
        <v>200</v>
      </c>
      <c r="I137" s="1">
        <v>2</v>
      </c>
      <c r="J137" s="1">
        <v>0</v>
      </c>
      <c r="K137" s="1">
        <v>400</v>
      </c>
      <c r="L137" s="1">
        <v>112.56</v>
      </c>
      <c r="M137" s="8">
        <f t="shared" ca="1" si="4"/>
        <v>46011.04483136574</v>
      </c>
      <c r="N137" s="9" t="str">
        <f t="shared" si="5"/>
        <v>Apr</v>
      </c>
    </row>
    <row r="138" spans="1:14" x14ac:dyDescent="0.3">
      <c r="A138" s="1">
        <v>1137</v>
      </c>
      <c r="B138" s="2">
        <v>45376</v>
      </c>
      <c r="C138" s="1" t="s">
        <v>22</v>
      </c>
      <c r="D138" s="1" t="s">
        <v>23</v>
      </c>
      <c r="E138" s="1" t="s">
        <v>29</v>
      </c>
      <c r="F138" s="1" t="s">
        <v>33</v>
      </c>
      <c r="G138" s="1" t="s">
        <v>52</v>
      </c>
      <c r="H138" s="1">
        <v>12000</v>
      </c>
      <c r="I138" s="1">
        <v>5</v>
      </c>
      <c r="J138" s="1">
        <v>0.1</v>
      </c>
      <c r="K138" s="1">
        <v>54000</v>
      </c>
      <c r="L138" s="1">
        <v>13474.12</v>
      </c>
      <c r="M138" s="8">
        <f t="shared" ca="1" si="4"/>
        <v>46011.04483136574</v>
      </c>
      <c r="N138" s="9" t="str">
        <f t="shared" si="5"/>
        <v>Mar</v>
      </c>
    </row>
    <row r="139" spans="1:14" x14ac:dyDescent="0.3">
      <c r="A139" s="1">
        <v>1138</v>
      </c>
      <c r="B139" s="2">
        <v>45338</v>
      </c>
      <c r="C139" s="1" t="s">
        <v>30</v>
      </c>
      <c r="D139" s="1" t="s">
        <v>31</v>
      </c>
      <c r="E139" s="1" t="s">
        <v>29</v>
      </c>
      <c r="F139" s="1" t="s">
        <v>33</v>
      </c>
      <c r="G139" s="1" t="s">
        <v>43</v>
      </c>
      <c r="H139" s="1">
        <v>7500</v>
      </c>
      <c r="I139" s="1">
        <v>4</v>
      </c>
      <c r="J139" s="1">
        <v>0</v>
      </c>
      <c r="K139" s="1">
        <v>30000</v>
      </c>
      <c r="L139" s="1">
        <v>8915.39</v>
      </c>
      <c r="M139" s="8">
        <f t="shared" ca="1" si="4"/>
        <v>46011.04483136574</v>
      </c>
      <c r="N139" s="9" t="str">
        <f t="shared" si="5"/>
        <v>Feb</v>
      </c>
    </row>
    <row r="140" spans="1:14" x14ac:dyDescent="0.3">
      <c r="A140" s="1">
        <v>1139</v>
      </c>
      <c r="B140" s="2">
        <v>45346</v>
      </c>
      <c r="C140" s="1" t="s">
        <v>48</v>
      </c>
      <c r="D140" s="1" t="s">
        <v>49</v>
      </c>
      <c r="E140" s="1" t="s">
        <v>19</v>
      </c>
      <c r="F140" s="1" t="s">
        <v>33</v>
      </c>
      <c r="G140" s="1" t="s">
        <v>34</v>
      </c>
      <c r="H140" s="1">
        <v>9500</v>
      </c>
      <c r="I140" s="1">
        <v>3</v>
      </c>
      <c r="J140" s="1">
        <v>0.05</v>
      </c>
      <c r="K140" s="1">
        <v>27075</v>
      </c>
      <c r="L140" s="1">
        <v>5673.97</v>
      </c>
      <c r="M140" s="8">
        <f t="shared" ca="1" si="4"/>
        <v>46011.04483136574</v>
      </c>
      <c r="N140" s="9" t="str">
        <f t="shared" si="5"/>
        <v>Feb</v>
      </c>
    </row>
    <row r="141" spans="1:14" x14ac:dyDescent="0.3">
      <c r="A141" s="1">
        <v>1140</v>
      </c>
      <c r="B141" s="2">
        <v>45329</v>
      </c>
      <c r="C141" s="1" t="s">
        <v>12</v>
      </c>
      <c r="D141" s="1" t="s">
        <v>13</v>
      </c>
      <c r="E141" s="1" t="s">
        <v>14</v>
      </c>
      <c r="F141" s="1" t="s">
        <v>33</v>
      </c>
      <c r="G141" s="1" t="s">
        <v>52</v>
      </c>
      <c r="H141" s="1">
        <v>12000</v>
      </c>
      <c r="I141" s="1">
        <v>2</v>
      </c>
      <c r="J141" s="1">
        <v>0.15</v>
      </c>
      <c r="K141" s="1">
        <v>20400</v>
      </c>
      <c r="L141" s="1">
        <v>6528.14</v>
      </c>
      <c r="M141" s="8">
        <f t="shared" ca="1" si="4"/>
        <v>46011.04483136574</v>
      </c>
      <c r="N141" s="9" t="str">
        <f t="shared" si="5"/>
        <v>Feb</v>
      </c>
    </row>
    <row r="142" spans="1:14" x14ac:dyDescent="0.3">
      <c r="A142" s="1">
        <v>1141</v>
      </c>
      <c r="B142" s="2">
        <v>45351</v>
      </c>
      <c r="C142" s="1" t="s">
        <v>12</v>
      </c>
      <c r="D142" s="1" t="s">
        <v>13</v>
      </c>
      <c r="E142" s="1" t="s">
        <v>14</v>
      </c>
      <c r="F142" s="1" t="s">
        <v>15</v>
      </c>
      <c r="G142" s="1" t="s">
        <v>35</v>
      </c>
      <c r="H142" s="1">
        <v>55000</v>
      </c>
      <c r="I142" s="1">
        <v>4</v>
      </c>
      <c r="J142" s="1">
        <v>0.15</v>
      </c>
      <c r="K142" s="1">
        <v>187000</v>
      </c>
      <c r="L142" s="1">
        <v>49926.32</v>
      </c>
      <c r="M142" s="8">
        <f t="shared" ca="1" si="4"/>
        <v>46011.04483136574</v>
      </c>
      <c r="N142" s="9" t="str">
        <f t="shared" si="5"/>
        <v>Feb</v>
      </c>
    </row>
    <row r="143" spans="1:14" x14ac:dyDescent="0.3">
      <c r="A143" s="1">
        <v>1142</v>
      </c>
      <c r="B143" s="2">
        <v>45453</v>
      </c>
      <c r="C143" s="1" t="s">
        <v>25</v>
      </c>
      <c r="D143" s="1" t="s">
        <v>26</v>
      </c>
      <c r="E143" s="1" t="s">
        <v>32</v>
      </c>
      <c r="F143" s="1" t="s">
        <v>33</v>
      </c>
      <c r="G143" s="1" t="s">
        <v>34</v>
      </c>
      <c r="H143" s="1">
        <v>9500</v>
      </c>
      <c r="I143" s="1">
        <v>2</v>
      </c>
      <c r="J143" s="1">
        <v>0.1</v>
      </c>
      <c r="K143" s="1">
        <v>17100</v>
      </c>
      <c r="L143" s="1">
        <v>5868</v>
      </c>
      <c r="M143" s="8">
        <f t="shared" ca="1" si="4"/>
        <v>46011.04483136574</v>
      </c>
      <c r="N143" s="9" t="str">
        <f t="shared" si="5"/>
        <v>Jun</v>
      </c>
    </row>
    <row r="144" spans="1:14" x14ac:dyDescent="0.3">
      <c r="A144" s="1">
        <v>1143</v>
      </c>
      <c r="B144" s="2">
        <v>45433</v>
      </c>
      <c r="C144" s="1" t="s">
        <v>25</v>
      </c>
      <c r="D144" s="1" t="s">
        <v>26</v>
      </c>
      <c r="E144" s="1" t="s">
        <v>32</v>
      </c>
      <c r="F144" s="1" t="s">
        <v>15</v>
      </c>
      <c r="G144" s="1" t="s">
        <v>35</v>
      </c>
      <c r="H144" s="1">
        <v>55000</v>
      </c>
      <c r="I144" s="1">
        <v>1</v>
      </c>
      <c r="J144" s="1">
        <v>0.15</v>
      </c>
      <c r="K144" s="1">
        <v>46750</v>
      </c>
      <c r="L144" s="1">
        <v>7976.98</v>
      </c>
      <c r="M144" s="8">
        <f t="shared" ca="1" si="4"/>
        <v>46011.04483136574</v>
      </c>
      <c r="N144" s="9" t="str">
        <f t="shared" si="5"/>
        <v>May</v>
      </c>
    </row>
    <row r="145" spans="1:14" x14ac:dyDescent="0.3">
      <c r="A145" s="1">
        <v>1144</v>
      </c>
      <c r="B145" s="2">
        <v>45427</v>
      </c>
      <c r="C145" s="1" t="s">
        <v>25</v>
      </c>
      <c r="D145" s="1" t="s">
        <v>26</v>
      </c>
      <c r="E145" s="1" t="s">
        <v>29</v>
      </c>
      <c r="F145" s="1" t="s">
        <v>15</v>
      </c>
      <c r="G145" s="1" t="s">
        <v>44</v>
      </c>
      <c r="H145" s="1">
        <v>18000</v>
      </c>
      <c r="I145" s="1">
        <v>5</v>
      </c>
      <c r="J145" s="1">
        <v>0.15</v>
      </c>
      <c r="K145" s="1">
        <v>76500</v>
      </c>
      <c r="L145" s="1">
        <v>15841.76</v>
      </c>
      <c r="M145" s="8">
        <f t="shared" ca="1" si="4"/>
        <v>46011.04483136574</v>
      </c>
      <c r="N145" s="9" t="str">
        <f t="shared" si="5"/>
        <v>May</v>
      </c>
    </row>
    <row r="146" spans="1:14" x14ac:dyDescent="0.3">
      <c r="A146" s="1">
        <v>1145</v>
      </c>
      <c r="B146" s="2">
        <v>45351</v>
      </c>
      <c r="C146" s="1" t="s">
        <v>41</v>
      </c>
      <c r="D146" s="1" t="s">
        <v>42</v>
      </c>
      <c r="E146" s="1" t="s">
        <v>29</v>
      </c>
      <c r="F146" s="1" t="s">
        <v>20</v>
      </c>
      <c r="G146" s="1" t="s">
        <v>38</v>
      </c>
      <c r="H146" s="1">
        <v>350</v>
      </c>
      <c r="I146" s="1">
        <v>1</v>
      </c>
      <c r="J146" s="1">
        <v>0.1</v>
      </c>
      <c r="K146" s="1">
        <v>315</v>
      </c>
      <c r="L146" s="1">
        <v>74.040000000000006</v>
      </c>
      <c r="M146" s="8">
        <f t="shared" ca="1" si="4"/>
        <v>46011.04483136574</v>
      </c>
      <c r="N146" s="9" t="str">
        <f t="shared" si="5"/>
        <v>Feb</v>
      </c>
    </row>
    <row r="147" spans="1:14" x14ac:dyDescent="0.3">
      <c r="A147" s="1">
        <v>1146</v>
      </c>
      <c r="B147" s="2">
        <v>45467</v>
      </c>
      <c r="C147" s="1" t="s">
        <v>39</v>
      </c>
      <c r="D147" s="1" t="s">
        <v>40</v>
      </c>
      <c r="E147" s="1" t="s">
        <v>19</v>
      </c>
      <c r="F147" s="1" t="s">
        <v>20</v>
      </c>
      <c r="G147" s="1" t="s">
        <v>45</v>
      </c>
      <c r="H147" s="1">
        <v>500</v>
      </c>
      <c r="I147" s="1">
        <v>1</v>
      </c>
      <c r="J147" s="1">
        <v>0.05</v>
      </c>
      <c r="K147" s="1">
        <v>475</v>
      </c>
      <c r="L147" s="1">
        <v>135</v>
      </c>
      <c r="M147" s="8">
        <f t="shared" ca="1" si="4"/>
        <v>46011.04483136574</v>
      </c>
      <c r="N147" s="9" t="str">
        <f t="shared" si="5"/>
        <v>Jun</v>
      </c>
    </row>
    <row r="148" spans="1:14" x14ac:dyDescent="0.3">
      <c r="A148" s="1">
        <v>1147</v>
      </c>
      <c r="B148" s="2">
        <v>45379</v>
      </c>
      <c r="C148" s="1" t="s">
        <v>12</v>
      </c>
      <c r="D148" s="1" t="s">
        <v>13</v>
      </c>
      <c r="E148" s="1" t="s">
        <v>29</v>
      </c>
      <c r="F148" s="1" t="s">
        <v>33</v>
      </c>
      <c r="G148" s="1" t="s">
        <v>43</v>
      </c>
      <c r="H148" s="1">
        <v>7500</v>
      </c>
      <c r="I148" s="1">
        <v>1</v>
      </c>
      <c r="J148" s="1">
        <v>0.1</v>
      </c>
      <c r="K148" s="1">
        <v>6750</v>
      </c>
      <c r="L148" s="1">
        <v>1355.69</v>
      </c>
      <c r="M148" s="8">
        <f t="shared" ca="1" si="4"/>
        <v>46011.04483136574</v>
      </c>
      <c r="N148" s="9" t="str">
        <f t="shared" si="5"/>
        <v>Mar</v>
      </c>
    </row>
    <row r="149" spans="1:14" x14ac:dyDescent="0.3">
      <c r="A149" s="1">
        <v>1148</v>
      </c>
      <c r="B149" s="2">
        <v>45430</v>
      </c>
      <c r="C149" s="1" t="s">
        <v>30</v>
      </c>
      <c r="D149" s="1" t="s">
        <v>31</v>
      </c>
      <c r="E149" s="1" t="s">
        <v>29</v>
      </c>
      <c r="F149" s="1" t="s">
        <v>20</v>
      </c>
      <c r="G149" s="1" t="s">
        <v>38</v>
      </c>
      <c r="H149" s="1">
        <v>350</v>
      </c>
      <c r="I149" s="1">
        <v>1</v>
      </c>
      <c r="J149" s="1">
        <v>0.15</v>
      </c>
      <c r="K149" s="1">
        <v>297.5</v>
      </c>
      <c r="L149" s="1">
        <v>66.36</v>
      </c>
      <c r="M149" s="8">
        <f t="shared" ca="1" si="4"/>
        <v>46011.04483136574</v>
      </c>
      <c r="N149" s="9" t="str">
        <f t="shared" si="5"/>
        <v>May</v>
      </c>
    </row>
    <row r="150" spans="1:14" x14ac:dyDescent="0.3">
      <c r="A150" s="1">
        <v>1149</v>
      </c>
      <c r="B150" s="2">
        <v>45409</v>
      </c>
      <c r="C150" s="1" t="s">
        <v>50</v>
      </c>
      <c r="D150" s="1" t="s">
        <v>51</v>
      </c>
      <c r="E150" s="1" t="s">
        <v>19</v>
      </c>
      <c r="F150" s="1" t="s">
        <v>33</v>
      </c>
      <c r="G150" s="1" t="s">
        <v>52</v>
      </c>
      <c r="H150" s="1">
        <v>12000</v>
      </c>
      <c r="I150" s="1">
        <v>2</v>
      </c>
      <c r="J150" s="1">
        <v>0.1</v>
      </c>
      <c r="K150" s="1">
        <v>21600</v>
      </c>
      <c r="L150" s="1">
        <v>7272.87</v>
      </c>
      <c r="M150" s="8">
        <f t="shared" ca="1" si="4"/>
        <v>46011.04483136574</v>
      </c>
      <c r="N150" s="9" t="str">
        <f t="shared" si="5"/>
        <v>Apr</v>
      </c>
    </row>
    <row r="151" spans="1:14" x14ac:dyDescent="0.3">
      <c r="A151" s="1">
        <v>1150</v>
      </c>
      <c r="B151" s="2">
        <v>45346</v>
      </c>
      <c r="C151" s="1" t="s">
        <v>46</v>
      </c>
      <c r="D151" s="1" t="s">
        <v>47</v>
      </c>
      <c r="E151" s="1" t="s">
        <v>29</v>
      </c>
      <c r="F151" s="1" t="s">
        <v>15</v>
      </c>
      <c r="G151" s="1" t="s">
        <v>35</v>
      </c>
      <c r="H151" s="1">
        <v>55000</v>
      </c>
      <c r="I151" s="1">
        <v>4</v>
      </c>
      <c r="J151" s="1">
        <v>0.15</v>
      </c>
      <c r="K151" s="1">
        <v>187000</v>
      </c>
      <c r="L151" s="1">
        <v>47669.14</v>
      </c>
      <c r="M151" s="8">
        <f t="shared" ca="1" si="4"/>
        <v>46011.04483136574</v>
      </c>
      <c r="N151" s="9" t="str">
        <f t="shared" si="5"/>
        <v>Feb</v>
      </c>
    </row>
    <row r="152" spans="1:14" x14ac:dyDescent="0.3">
      <c r="A152" s="1">
        <v>1151</v>
      </c>
      <c r="B152" s="2">
        <v>45301</v>
      </c>
      <c r="C152" s="1" t="s">
        <v>36</v>
      </c>
      <c r="D152" s="1" t="s">
        <v>37</v>
      </c>
      <c r="E152" s="1" t="s">
        <v>14</v>
      </c>
      <c r="F152" s="1" t="s">
        <v>33</v>
      </c>
      <c r="G152" s="1" t="s">
        <v>43</v>
      </c>
      <c r="H152" s="1">
        <v>7500</v>
      </c>
      <c r="I152" s="1">
        <v>2</v>
      </c>
      <c r="J152" s="1">
        <v>0.15</v>
      </c>
      <c r="K152" s="1">
        <v>12750</v>
      </c>
      <c r="L152" s="1">
        <v>4400.59</v>
      </c>
      <c r="M152" s="8">
        <f t="shared" ca="1" si="4"/>
        <v>46011.04483136574</v>
      </c>
      <c r="N152" s="9" t="str">
        <f t="shared" si="5"/>
        <v>Jan</v>
      </c>
    </row>
    <row r="153" spans="1:14" x14ac:dyDescent="0.3">
      <c r="A153" s="1">
        <v>1152</v>
      </c>
      <c r="B153" s="2">
        <v>45302</v>
      </c>
      <c r="C153" s="1" t="s">
        <v>41</v>
      </c>
      <c r="D153" s="1" t="s">
        <v>42</v>
      </c>
      <c r="E153" s="1" t="s">
        <v>29</v>
      </c>
      <c r="F153" s="1" t="s">
        <v>33</v>
      </c>
      <c r="G153" s="1" t="s">
        <v>52</v>
      </c>
      <c r="H153" s="1">
        <v>12000</v>
      </c>
      <c r="I153" s="1">
        <v>5</v>
      </c>
      <c r="J153" s="1">
        <v>0.05</v>
      </c>
      <c r="K153" s="1">
        <v>57000</v>
      </c>
      <c r="L153" s="1">
        <v>19297.7</v>
      </c>
      <c r="M153" s="8">
        <f t="shared" ca="1" si="4"/>
        <v>46011.04483136574</v>
      </c>
      <c r="N153" s="9" t="str">
        <f t="shared" si="5"/>
        <v>Jan</v>
      </c>
    </row>
    <row r="154" spans="1:14" x14ac:dyDescent="0.3">
      <c r="A154" s="1">
        <v>1153</v>
      </c>
      <c r="B154" s="2">
        <v>45318</v>
      </c>
      <c r="C154" s="1" t="s">
        <v>22</v>
      </c>
      <c r="D154" s="1" t="s">
        <v>23</v>
      </c>
      <c r="E154" s="1" t="s">
        <v>29</v>
      </c>
      <c r="F154" s="1" t="s">
        <v>20</v>
      </c>
      <c r="G154" s="1" t="s">
        <v>21</v>
      </c>
      <c r="H154" s="1">
        <v>200</v>
      </c>
      <c r="I154" s="1">
        <v>1</v>
      </c>
      <c r="J154" s="1">
        <v>0.15</v>
      </c>
      <c r="K154" s="1">
        <v>170</v>
      </c>
      <c r="L154" s="1">
        <v>28.55</v>
      </c>
      <c r="M154" s="8">
        <f t="shared" ca="1" si="4"/>
        <v>46011.04483136574</v>
      </c>
      <c r="N154" s="9" t="str">
        <f t="shared" si="5"/>
        <v>Jan</v>
      </c>
    </row>
    <row r="155" spans="1:14" x14ac:dyDescent="0.3">
      <c r="A155" s="1">
        <v>1154</v>
      </c>
      <c r="B155" s="2">
        <v>45403</v>
      </c>
      <c r="C155" s="1" t="s">
        <v>27</v>
      </c>
      <c r="D155" s="1" t="s">
        <v>28</v>
      </c>
      <c r="E155" s="1" t="s">
        <v>32</v>
      </c>
      <c r="F155" s="1" t="s">
        <v>15</v>
      </c>
      <c r="G155" s="1" t="s">
        <v>35</v>
      </c>
      <c r="H155" s="1">
        <v>55000</v>
      </c>
      <c r="I155" s="1">
        <v>2</v>
      </c>
      <c r="J155" s="1">
        <v>0</v>
      </c>
      <c r="K155" s="1">
        <v>110000</v>
      </c>
      <c r="L155" s="1">
        <v>22457</v>
      </c>
      <c r="M155" s="8">
        <f t="shared" ca="1" si="4"/>
        <v>46011.04483136574</v>
      </c>
      <c r="N155" s="9" t="str">
        <f t="shared" si="5"/>
        <v>Apr</v>
      </c>
    </row>
    <row r="156" spans="1:14" x14ac:dyDescent="0.3">
      <c r="A156" s="1">
        <v>1155</v>
      </c>
      <c r="B156" s="2">
        <v>45311</v>
      </c>
      <c r="C156" s="1" t="s">
        <v>41</v>
      </c>
      <c r="D156" s="1" t="s">
        <v>42</v>
      </c>
      <c r="E156" s="1" t="s">
        <v>14</v>
      </c>
      <c r="F156" s="1" t="s">
        <v>15</v>
      </c>
      <c r="G156" s="1" t="s">
        <v>44</v>
      </c>
      <c r="H156" s="1">
        <v>18000</v>
      </c>
      <c r="I156" s="1">
        <v>3</v>
      </c>
      <c r="J156" s="1">
        <v>0.15</v>
      </c>
      <c r="K156" s="1">
        <v>45900</v>
      </c>
      <c r="L156" s="1">
        <v>10605.23</v>
      </c>
      <c r="M156" s="8">
        <f t="shared" ca="1" si="4"/>
        <v>46011.04483136574</v>
      </c>
      <c r="N156" s="9" t="str">
        <f t="shared" si="5"/>
        <v>Jan</v>
      </c>
    </row>
    <row r="157" spans="1:14" x14ac:dyDescent="0.3">
      <c r="A157" s="1">
        <v>1156</v>
      </c>
      <c r="B157" s="2">
        <v>45347</v>
      </c>
      <c r="C157" s="1" t="s">
        <v>27</v>
      </c>
      <c r="D157" s="1" t="s">
        <v>28</v>
      </c>
      <c r="E157" s="1" t="s">
        <v>19</v>
      </c>
      <c r="F157" s="1" t="s">
        <v>20</v>
      </c>
      <c r="G157" s="1" t="s">
        <v>38</v>
      </c>
      <c r="H157" s="1">
        <v>350</v>
      </c>
      <c r="I157" s="1">
        <v>2</v>
      </c>
      <c r="J157" s="1">
        <v>0.1</v>
      </c>
      <c r="K157" s="1">
        <v>630</v>
      </c>
      <c r="L157" s="1">
        <v>150.91999999999999</v>
      </c>
      <c r="M157" s="8">
        <f t="shared" ca="1" si="4"/>
        <v>46011.04483136574</v>
      </c>
      <c r="N157" s="9" t="str">
        <f t="shared" si="5"/>
        <v>Feb</v>
      </c>
    </row>
    <row r="158" spans="1:14" x14ac:dyDescent="0.3">
      <c r="A158" s="1">
        <v>1157</v>
      </c>
      <c r="B158" s="2">
        <v>45414</v>
      </c>
      <c r="C158" s="1" t="s">
        <v>25</v>
      </c>
      <c r="D158" s="1" t="s">
        <v>26</v>
      </c>
      <c r="E158" s="1" t="s">
        <v>19</v>
      </c>
      <c r="F158" s="1" t="s">
        <v>20</v>
      </c>
      <c r="G158" s="1" t="s">
        <v>21</v>
      </c>
      <c r="H158" s="1">
        <v>200</v>
      </c>
      <c r="I158" s="1">
        <v>3</v>
      </c>
      <c r="J158" s="1">
        <v>0</v>
      </c>
      <c r="K158" s="1">
        <v>600</v>
      </c>
      <c r="L158" s="1">
        <v>115.16</v>
      </c>
      <c r="M158" s="8">
        <f t="shared" ca="1" si="4"/>
        <v>46011.04483136574</v>
      </c>
      <c r="N158" s="9" t="str">
        <f t="shared" si="5"/>
        <v>May</v>
      </c>
    </row>
    <row r="159" spans="1:14" x14ac:dyDescent="0.3">
      <c r="A159" s="1">
        <v>1158</v>
      </c>
      <c r="B159" s="2">
        <v>45363</v>
      </c>
      <c r="C159" s="1" t="s">
        <v>48</v>
      </c>
      <c r="D159" s="1" t="s">
        <v>49</v>
      </c>
      <c r="E159" s="1" t="s">
        <v>19</v>
      </c>
      <c r="F159" s="1" t="s">
        <v>20</v>
      </c>
      <c r="G159" s="1" t="s">
        <v>45</v>
      </c>
      <c r="H159" s="1">
        <v>500</v>
      </c>
      <c r="I159" s="1">
        <v>4</v>
      </c>
      <c r="J159" s="1">
        <v>0</v>
      </c>
      <c r="K159" s="1">
        <v>2000</v>
      </c>
      <c r="L159" s="1">
        <v>618.70000000000005</v>
      </c>
      <c r="M159" s="8">
        <f t="shared" ca="1" si="4"/>
        <v>46011.04483136574</v>
      </c>
      <c r="N159" s="9" t="str">
        <f t="shared" si="5"/>
        <v>Mar</v>
      </c>
    </row>
    <row r="160" spans="1:14" x14ac:dyDescent="0.3">
      <c r="A160" s="1">
        <v>1159</v>
      </c>
      <c r="B160" s="2">
        <v>45386</v>
      </c>
      <c r="C160" s="1" t="s">
        <v>39</v>
      </c>
      <c r="D160" s="1" t="s">
        <v>40</v>
      </c>
      <c r="E160" s="1" t="s">
        <v>19</v>
      </c>
      <c r="F160" s="1" t="s">
        <v>33</v>
      </c>
      <c r="G160" s="1" t="s">
        <v>52</v>
      </c>
      <c r="H160" s="1">
        <v>12000</v>
      </c>
      <c r="I160" s="1">
        <v>4</v>
      </c>
      <c r="J160" s="1">
        <v>0.1</v>
      </c>
      <c r="K160" s="1">
        <v>43200</v>
      </c>
      <c r="L160" s="1">
        <v>7906.51</v>
      </c>
      <c r="M160" s="8">
        <f t="shared" ca="1" si="4"/>
        <v>46011.04483136574</v>
      </c>
      <c r="N160" s="9" t="str">
        <f t="shared" si="5"/>
        <v>Apr</v>
      </c>
    </row>
    <row r="161" spans="1:14" x14ac:dyDescent="0.3">
      <c r="A161" s="1">
        <v>1160</v>
      </c>
      <c r="B161" s="2">
        <v>45370</v>
      </c>
      <c r="C161" s="1" t="s">
        <v>39</v>
      </c>
      <c r="D161" s="1" t="s">
        <v>40</v>
      </c>
      <c r="E161" s="1" t="s">
        <v>14</v>
      </c>
      <c r="F161" s="1" t="s">
        <v>15</v>
      </c>
      <c r="G161" s="1" t="s">
        <v>44</v>
      </c>
      <c r="H161" s="1">
        <v>18000</v>
      </c>
      <c r="I161" s="1">
        <v>1</v>
      </c>
      <c r="J161" s="1">
        <v>0</v>
      </c>
      <c r="K161" s="1">
        <v>18000</v>
      </c>
      <c r="L161" s="1">
        <v>2832.74</v>
      </c>
      <c r="M161" s="8">
        <f t="shared" ca="1" si="4"/>
        <v>46011.04483136574</v>
      </c>
      <c r="N161" s="9" t="str">
        <f t="shared" si="5"/>
        <v>Mar</v>
      </c>
    </row>
    <row r="162" spans="1:14" x14ac:dyDescent="0.3">
      <c r="A162" s="1">
        <v>1161</v>
      </c>
      <c r="B162" s="2">
        <v>45366</v>
      </c>
      <c r="C162" s="1" t="s">
        <v>50</v>
      </c>
      <c r="D162" s="1" t="s">
        <v>51</v>
      </c>
      <c r="E162" s="1" t="s">
        <v>32</v>
      </c>
      <c r="F162" s="1" t="s">
        <v>20</v>
      </c>
      <c r="G162" s="1" t="s">
        <v>38</v>
      </c>
      <c r="H162" s="1">
        <v>350</v>
      </c>
      <c r="I162" s="1">
        <v>5</v>
      </c>
      <c r="J162" s="1">
        <v>0.05</v>
      </c>
      <c r="K162" s="1">
        <v>1662.5</v>
      </c>
      <c r="L162" s="1">
        <v>409.68</v>
      </c>
      <c r="M162" s="8">
        <f t="shared" ca="1" si="4"/>
        <v>46011.04483136574</v>
      </c>
      <c r="N162" s="9" t="str">
        <f t="shared" si="5"/>
        <v>Mar</v>
      </c>
    </row>
    <row r="163" spans="1:14" x14ac:dyDescent="0.3">
      <c r="A163" s="1">
        <v>1162</v>
      </c>
      <c r="B163" s="2">
        <v>45410</v>
      </c>
      <c r="C163" s="1" t="s">
        <v>50</v>
      </c>
      <c r="D163" s="1" t="s">
        <v>51</v>
      </c>
      <c r="E163" s="1" t="s">
        <v>19</v>
      </c>
      <c r="F163" s="1" t="s">
        <v>20</v>
      </c>
      <c r="G163" s="1" t="s">
        <v>45</v>
      </c>
      <c r="H163" s="1">
        <v>500</v>
      </c>
      <c r="I163" s="1">
        <v>1</v>
      </c>
      <c r="J163" s="1">
        <v>0.1</v>
      </c>
      <c r="K163" s="1">
        <v>450</v>
      </c>
      <c r="L163" s="1">
        <v>98.32</v>
      </c>
      <c r="M163" s="8">
        <f t="shared" ca="1" si="4"/>
        <v>46011.04483136574</v>
      </c>
      <c r="N163" s="9" t="str">
        <f t="shared" si="5"/>
        <v>Apr</v>
      </c>
    </row>
    <row r="164" spans="1:14" x14ac:dyDescent="0.3">
      <c r="A164" s="1">
        <v>1163</v>
      </c>
      <c r="B164" s="2">
        <v>45444</v>
      </c>
      <c r="C164" s="1" t="s">
        <v>36</v>
      </c>
      <c r="D164" s="1" t="s">
        <v>37</v>
      </c>
      <c r="E164" s="1" t="s">
        <v>29</v>
      </c>
      <c r="F164" s="1" t="s">
        <v>15</v>
      </c>
      <c r="G164" s="1" t="s">
        <v>44</v>
      </c>
      <c r="H164" s="1">
        <v>18000</v>
      </c>
      <c r="I164" s="1">
        <v>1</v>
      </c>
      <c r="J164" s="1">
        <v>0.15</v>
      </c>
      <c r="K164" s="1">
        <v>15300</v>
      </c>
      <c r="L164" s="1">
        <v>4822.43</v>
      </c>
      <c r="M164" s="8">
        <f t="shared" ca="1" si="4"/>
        <v>46011.04483136574</v>
      </c>
      <c r="N164" s="9" t="str">
        <f t="shared" si="5"/>
        <v>Jun</v>
      </c>
    </row>
    <row r="165" spans="1:14" x14ac:dyDescent="0.3">
      <c r="A165" s="1">
        <v>1164</v>
      </c>
      <c r="B165" s="2">
        <v>45376</v>
      </c>
      <c r="C165" s="1" t="s">
        <v>50</v>
      </c>
      <c r="D165" s="1" t="s">
        <v>51</v>
      </c>
      <c r="E165" s="1" t="s">
        <v>32</v>
      </c>
      <c r="F165" s="1" t="s">
        <v>33</v>
      </c>
      <c r="G165" s="1" t="s">
        <v>43</v>
      </c>
      <c r="H165" s="1">
        <v>7500</v>
      </c>
      <c r="I165" s="1">
        <v>4</v>
      </c>
      <c r="J165" s="1">
        <v>0.15</v>
      </c>
      <c r="K165" s="1">
        <v>25500</v>
      </c>
      <c r="L165" s="1">
        <v>6519.93</v>
      </c>
      <c r="M165" s="8">
        <f t="shared" ca="1" si="4"/>
        <v>46011.04483136574</v>
      </c>
      <c r="N165" s="9" t="str">
        <f t="shared" si="5"/>
        <v>Mar</v>
      </c>
    </row>
    <row r="166" spans="1:14" x14ac:dyDescent="0.3">
      <c r="A166" s="1">
        <v>1165</v>
      </c>
      <c r="B166" s="2">
        <v>45354</v>
      </c>
      <c r="C166" s="1" t="s">
        <v>36</v>
      </c>
      <c r="D166" s="1" t="s">
        <v>37</v>
      </c>
      <c r="E166" s="1" t="s">
        <v>29</v>
      </c>
      <c r="F166" s="1" t="s">
        <v>15</v>
      </c>
      <c r="G166" s="1" t="s">
        <v>24</v>
      </c>
      <c r="H166" s="1">
        <v>22000</v>
      </c>
      <c r="I166" s="1">
        <v>3</v>
      </c>
      <c r="J166" s="1">
        <v>0.05</v>
      </c>
      <c r="K166" s="1">
        <v>62700</v>
      </c>
      <c r="L166" s="1">
        <v>10196.11</v>
      </c>
      <c r="M166" s="8">
        <f t="shared" ca="1" si="4"/>
        <v>46011.04483136574</v>
      </c>
      <c r="N166" s="9" t="str">
        <f t="shared" si="5"/>
        <v>Mar</v>
      </c>
    </row>
    <row r="167" spans="1:14" x14ac:dyDescent="0.3">
      <c r="A167" s="1">
        <v>1166</v>
      </c>
      <c r="B167" s="2">
        <v>45333</v>
      </c>
      <c r="C167" s="1" t="s">
        <v>50</v>
      </c>
      <c r="D167" s="1" t="s">
        <v>51</v>
      </c>
      <c r="E167" s="1" t="s">
        <v>19</v>
      </c>
      <c r="F167" s="1" t="s">
        <v>20</v>
      </c>
      <c r="G167" s="1" t="s">
        <v>38</v>
      </c>
      <c r="H167" s="1">
        <v>350</v>
      </c>
      <c r="I167" s="1">
        <v>5</v>
      </c>
      <c r="J167" s="1">
        <v>0.15</v>
      </c>
      <c r="K167" s="1">
        <v>1487.5</v>
      </c>
      <c r="L167" s="1">
        <v>391.62</v>
      </c>
      <c r="M167" s="8">
        <f t="shared" ca="1" si="4"/>
        <v>46011.04483136574</v>
      </c>
      <c r="N167" s="9" t="str">
        <f t="shared" si="5"/>
        <v>Feb</v>
      </c>
    </row>
    <row r="168" spans="1:14" x14ac:dyDescent="0.3">
      <c r="A168" s="1">
        <v>1167</v>
      </c>
      <c r="B168" s="2">
        <v>45417</v>
      </c>
      <c r="C168" s="1" t="s">
        <v>12</v>
      </c>
      <c r="D168" s="1" t="s">
        <v>13</v>
      </c>
      <c r="E168" s="1" t="s">
        <v>29</v>
      </c>
      <c r="F168" s="1" t="s">
        <v>33</v>
      </c>
      <c r="G168" s="1" t="s">
        <v>43</v>
      </c>
      <c r="H168" s="1">
        <v>7500</v>
      </c>
      <c r="I168" s="1">
        <v>3</v>
      </c>
      <c r="J168" s="1">
        <v>0.1</v>
      </c>
      <c r="K168" s="1">
        <v>20250</v>
      </c>
      <c r="L168" s="1">
        <v>5726.16</v>
      </c>
      <c r="M168" s="8">
        <f t="shared" ca="1" si="4"/>
        <v>46011.04483136574</v>
      </c>
      <c r="N168" s="9" t="str">
        <f t="shared" si="5"/>
        <v>May</v>
      </c>
    </row>
    <row r="169" spans="1:14" x14ac:dyDescent="0.3">
      <c r="A169" s="1">
        <v>1168</v>
      </c>
      <c r="B169" s="2">
        <v>45369</v>
      </c>
      <c r="C169" s="1" t="s">
        <v>46</v>
      </c>
      <c r="D169" s="1" t="s">
        <v>47</v>
      </c>
      <c r="E169" s="1" t="s">
        <v>32</v>
      </c>
      <c r="F169" s="1" t="s">
        <v>15</v>
      </c>
      <c r="G169" s="1" t="s">
        <v>44</v>
      </c>
      <c r="H169" s="1">
        <v>18000</v>
      </c>
      <c r="I169" s="1">
        <v>2</v>
      </c>
      <c r="J169" s="1">
        <v>0.15</v>
      </c>
      <c r="K169" s="1">
        <v>30600</v>
      </c>
      <c r="L169" s="1">
        <v>9113.16</v>
      </c>
      <c r="M169" s="8">
        <f t="shared" ca="1" si="4"/>
        <v>46011.04483136574</v>
      </c>
      <c r="N169" s="9" t="str">
        <f t="shared" si="5"/>
        <v>Mar</v>
      </c>
    </row>
    <row r="170" spans="1:14" x14ac:dyDescent="0.3">
      <c r="A170" s="1">
        <v>1169</v>
      </c>
      <c r="B170" s="2">
        <v>45464</v>
      </c>
      <c r="C170" s="1" t="s">
        <v>30</v>
      </c>
      <c r="D170" s="1" t="s">
        <v>31</v>
      </c>
      <c r="E170" s="1" t="s">
        <v>32</v>
      </c>
      <c r="F170" s="1" t="s">
        <v>33</v>
      </c>
      <c r="G170" s="1" t="s">
        <v>34</v>
      </c>
      <c r="H170" s="1">
        <v>9500</v>
      </c>
      <c r="I170" s="1">
        <v>3</v>
      </c>
      <c r="J170" s="1">
        <v>0.15</v>
      </c>
      <c r="K170" s="1">
        <v>24225</v>
      </c>
      <c r="L170" s="1">
        <v>3743.92</v>
      </c>
      <c r="M170" s="8">
        <f t="shared" ca="1" si="4"/>
        <v>46011.04483136574</v>
      </c>
      <c r="N170" s="9" t="str">
        <f t="shared" si="5"/>
        <v>Jun</v>
      </c>
    </row>
    <row r="171" spans="1:14" x14ac:dyDescent="0.3">
      <c r="A171" s="1">
        <v>1170</v>
      </c>
      <c r="B171" s="2">
        <v>45349</v>
      </c>
      <c r="C171" s="1" t="s">
        <v>17</v>
      </c>
      <c r="D171" s="1" t="s">
        <v>18</v>
      </c>
      <c r="E171" s="1" t="s">
        <v>19</v>
      </c>
      <c r="F171" s="1" t="s">
        <v>15</v>
      </c>
      <c r="G171" s="1" t="s">
        <v>16</v>
      </c>
      <c r="H171" s="1">
        <v>3000</v>
      </c>
      <c r="I171" s="1">
        <v>4</v>
      </c>
      <c r="J171" s="1">
        <v>0.05</v>
      </c>
      <c r="K171" s="1">
        <v>11400</v>
      </c>
      <c r="L171" s="1">
        <v>1981.95</v>
      </c>
      <c r="M171" s="8">
        <f t="shared" ca="1" si="4"/>
        <v>46011.04483136574</v>
      </c>
      <c r="N171" s="9" t="str">
        <f t="shared" si="5"/>
        <v>Feb</v>
      </c>
    </row>
    <row r="172" spans="1:14" x14ac:dyDescent="0.3">
      <c r="A172" s="1">
        <v>1171</v>
      </c>
      <c r="B172" s="2">
        <v>45441</v>
      </c>
      <c r="C172" s="1" t="s">
        <v>39</v>
      </c>
      <c r="D172" s="1" t="s">
        <v>40</v>
      </c>
      <c r="E172" s="1" t="s">
        <v>29</v>
      </c>
      <c r="F172" s="1" t="s">
        <v>15</v>
      </c>
      <c r="G172" s="1" t="s">
        <v>24</v>
      </c>
      <c r="H172" s="1">
        <v>22000</v>
      </c>
      <c r="I172" s="1">
        <v>4</v>
      </c>
      <c r="J172" s="1">
        <v>0.15</v>
      </c>
      <c r="K172" s="1">
        <v>74800</v>
      </c>
      <c r="L172" s="1">
        <v>23552.959999999999</v>
      </c>
      <c r="M172" s="8">
        <f t="shared" ca="1" si="4"/>
        <v>46011.04483136574</v>
      </c>
      <c r="N172" s="9" t="str">
        <f t="shared" si="5"/>
        <v>May</v>
      </c>
    </row>
    <row r="173" spans="1:14" x14ac:dyDescent="0.3">
      <c r="A173" s="1">
        <v>1172</v>
      </c>
      <c r="B173" s="2">
        <v>45402</v>
      </c>
      <c r="C173" s="1" t="s">
        <v>46</v>
      </c>
      <c r="D173" s="1" t="s">
        <v>47</v>
      </c>
      <c r="E173" s="1" t="s">
        <v>29</v>
      </c>
      <c r="F173" s="1" t="s">
        <v>33</v>
      </c>
      <c r="G173" s="1" t="s">
        <v>52</v>
      </c>
      <c r="H173" s="1">
        <v>12000</v>
      </c>
      <c r="I173" s="1">
        <v>1</v>
      </c>
      <c r="J173" s="1">
        <v>0</v>
      </c>
      <c r="K173" s="1">
        <v>12000</v>
      </c>
      <c r="L173" s="1">
        <v>4147.17</v>
      </c>
      <c r="M173" s="8">
        <f t="shared" ca="1" si="4"/>
        <v>46011.04483136574</v>
      </c>
      <c r="N173" s="9" t="str">
        <f t="shared" si="5"/>
        <v>Apr</v>
      </c>
    </row>
    <row r="174" spans="1:14" x14ac:dyDescent="0.3">
      <c r="A174" s="1">
        <v>1173</v>
      </c>
      <c r="B174" s="2">
        <v>45344</v>
      </c>
      <c r="C174" s="1" t="s">
        <v>36</v>
      </c>
      <c r="D174" s="1" t="s">
        <v>37</v>
      </c>
      <c r="E174" s="1" t="s">
        <v>14</v>
      </c>
      <c r="F174" s="1" t="s">
        <v>15</v>
      </c>
      <c r="G174" s="1" t="s">
        <v>24</v>
      </c>
      <c r="H174" s="1">
        <v>22000</v>
      </c>
      <c r="I174" s="1">
        <v>1</v>
      </c>
      <c r="J174" s="1">
        <v>0.1</v>
      </c>
      <c r="K174" s="1">
        <v>19800</v>
      </c>
      <c r="L174" s="1">
        <v>3332.13</v>
      </c>
      <c r="M174" s="8">
        <f t="shared" ca="1" si="4"/>
        <v>46011.04483136574</v>
      </c>
      <c r="N174" s="9" t="str">
        <f t="shared" si="5"/>
        <v>Feb</v>
      </c>
    </row>
    <row r="175" spans="1:14" x14ac:dyDescent="0.3">
      <c r="A175" s="1">
        <v>1174</v>
      </c>
      <c r="B175" s="2">
        <v>45319</v>
      </c>
      <c r="C175" s="1" t="s">
        <v>39</v>
      </c>
      <c r="D175" s="1" t="s">
        <v>40</v>
      </c>
      <c r="E175" s="1" t="s">
        <v>14</v>
      </c>
      <c r="F175" s="1" t="s">
        <v>33</v>
      </c>
      <c r="G175" s="1" t="s">
        <v>43</v>
      </c>
      <c r="H175" s="1">
        <v>7500</v>
      </c>
      <c r="I175" s="1">
        <v>4</v>
      </c>
      <c r="J175" s="1">
        <v>0.15</v>
      </c>
      <c r="K175" s="1">
        <v>25500</v>
      </c>
      <c r="L175" s="1">
        <v>5846.18</v>
      </c>
      <c r="M175" s="8">
        <f t="shared" ca="1" si="4"/>
        <v>46011.04483136574</v>
      </c>
      <c r="N175" s="9" t="str">
        <f t="shared" si="5"/>
        <v>Jan</v>
      </c>
    </row>
    <row r="176" spans="1:14" x14ac:dyDescent="0.3">
      <c r="A176" s="1">
        <v>1175</v>
      </c>
      <c r="B176" s="2">
        <v>45367</v>
      </c>
      <c r="C176" s="1" t="s">
        <v>27</v>
      </c>
      <c r="D176" s="1" t="s">
        <v>28</v>
      </c>
      <c r="E176" s="1" t="s">
        <v>32</v>
      </c>
      <c r="F176" s="1" t="s">
        <v>15</v>
      </c>
      <c r="G176" s="1" t="s">
        <v>44</v>
      </c>
      <c r="H176" s="1">
        <v>18000</v>
      </c>
      <c r="I176" s="1">
        <v>2</v>
      </c>
      <c r="J176" s="1">
        <v>0.05</v>
      </c>
      <c r="K176" s="1">
        <v>34200</v>
      </c>
      <c r="L176" s="1">
        <v>11582.62</v>
      </c>
      <c r="M176" s="8">
        <f t="shared" ca="1" si="4"/>
        <v>46011.04483136574</v>
      </c>
      <c r="N176" s="9" t="str">
        <f t="shared" si="5"/>
        <v>Mar</v>
      </c>
    </row>
    <row r="177" spans="1:14" x14ac:dyDescent="0.3">
      <c r="A177" s="1">
        <v>1176</v>
      </c>
      <c r="B177" s="2">
        <v>45310</v>
      </c>
      <c r="C177" s="1" t="s">
        <v>22</v>
      </c>
      <c r="D177" s="1" t="s">
        <v>23</v>
      </c>
      <c r="E177" s="1" t="s">
        <v>14</v>
      </c>
      <c r="F177" s="1" t="s">
        <v>33</v>
      </c>
      <c r="G177" s="1" t="s">
        <v>34</v>
      </c>
      <c r="H177" s="1">
        <v>9500</v>
      </c>
      <c r="I177" s="1">
        <v>3</v>
      </c>
      <c r="J177" s="1">
        <v>0</v>
      </c>
      <c r="K177" s="1">
        <v>28500</v>
      </c>
      <c r="L177" s="1">
        <v>5255.55</v>
      </c>
      <c r="M177" s="8">
        <f t="shared" ca="1" si="4"/>
        <v>46011.04483136574</v>
      </c>
      <c r="N177" s="9" t="str">
        <f t="shared" si="5"/>
        <v>Jan</v>
      </c>
    </row>
    <row r="178" spans="1:14" x14ac:dyDescent="0.3">
      <c r="A178" s="1">
        <v>1177</v>
      </c>
      <c r="B178" s="2">
        <v>45403</v>
      </c>
      <c r="C178" s="1" t="s">
        <v>30</v>
      </c>
      <c r="D178" s="1" t="s">
        <v>31</v>
      </c>
      <c r="E178" s="1" t="s">
        <v>32</v>
      </c>
      <c r="F178" s="1" t="s">
        <v>33</v>
      </c>
      <c r="G178" s="1" t="s">
        <v>52</v>
      </c>
      <c r="H178" s="1">
        <v>12000</v>
      </c>
      <c r="I178" s="1">
        <v>3</v>
      </c>
      <c r="J178" s="1">
        <v>0.15</v>
      </c>
      <c r="K178" s="1">
        <v>30600</v>
      </c>
      <c r="L178" s="1">
        <v>5693.04</v>
      </c>
      <c r="M178" s="8">
        <f t="shared" ca="1" si="4"/>
        <v>46011.04483136574</v>
      </c>
      <c r="N178" s="9" t="str">
        <f t="shared" si="5"/>
        <v>Apr</v>
      </c>
    </row>
    <row r="179" spans="1:14" x14ac:dyDescent="0.3">
      <c r="A179" s="1">
        <v>1178</v>
      </c>
      <c r="B179" s="2">
        <v>45322</v>
      </c>
      <c r="C179" s="1" t="s">
        <v>36</v>
      </c>
      <c r="D179" s="1" t="s">
        <v>37</v>
      </c>
      <c r="E179" s="1" t="s">
        <v>29</v>
      </c>
      <c r="F179" s="1" t="s">
        <v>20</v>
      </c>
      <c r="G179" s="1" t="s">
        <v>38</v>
      </c>
      <c r="H179" s="1">
        <v>350</v>
      </c>
      <c r="I179" s="1">
        <v>5</v>
      </c>
      <c r="J179" s="1">
        <v>0.1</v>
      </c>
      <c r="K179" s="1">
        <v>1575</v>
      </c>
      <c r="L179" s="1">
        <v>307.57</v>
      </c>
      <c r="M179" s="8">
        <f t="shared" ca="1" si="4"/>
        <v>46011.04483136574</v>
      </c>
      <c r="N179" s="9" t="str">
        <f t="shared" si="5"/>
        <v>Jan</v>
      </c>
    </row>
    <row r="180" spans="1:14" x14ac:dyDescent="0.3">
      <c r="A180" s="1">
        <v>1179</v>
      </c>
      <c r="B180" s="2">
        <v>45435</v>
      </c>
      <c r="C180" s="1" t="s">
        <v>25</v>
      </c>
      <c r="D180" s="1" t="s">
        <v>26</v>
      </c>
      <c r="E180" s="1" t="s">
        <v>14</v>
      </c>
      <c r="F180" s="1" t="s">
        <v>20</v>
      </c>
      <c r="G180" s="1" t="s">
        <v>38</v>
      </c>
      <c r="H180" s="1">
        <v>350</v>
      </c>
      <c r="I180" s="1">
        <v>1</v>
      </c>
      <c r="J180" s="1">
        <v>0.1</v>
      </c>
      <c r="K180" s="1">
        <v>315</v>
      </c>
      <c r="L180" s="1">
        <v>109.59</v>
      </c>
      <c r="M180" s="8">
        <f t="shared" ca="1" si="4"/>
        <v>46011.04483136574</v>
      </c>
      <c r="N180" s="9" t="str">
        <f t="shared" si="5"/>
        <v>May</v>
      </c>
    </row>
    <row r="181" spans="1:14" x14ac:dyDescent="0.3">
      <c r="A181" s="1">
        <v>1180</v>
      </c>
      <c r="B181" s="2">
        <v>45368</v>
      </c>
      <c r="C181" s="1" t="s">
        <v>48</v>
      </c>
      <c r="D181" s="1" t="s">
        <v>49</v>
      </c>
      <c r="E181" s="1" t="s">
        <v>14</v>
      </c>
      <c r="F181" s="1" t="s">
        <v>20</v>
      </c>
      <c r="G181" s="1" t="s">
        <v>21</v>
      </c>
      <c r="H181" s="1">
        <v>200</v>
      </c>
      <c r="I181" s="1">
        <v>4</v>
      </c>
      <c r="J181" s="1">
        <v>0.15</v>
      </c>
      <c r="K181" s="1">
        <v>680</v>
      </c>
      <c r="L181" s="1">
        <v>218.12</v>
      </c>
      <c r="M181" s="8">
        <f t="shared" ca="1" si="4"/>
        <v>46011.04483136574</v>
      </c>
      <c r="N181" s="9" t="str">
        <f t="shared" si="5"/>
        <v>Mar</v>
      </c>
    </row>
    <row r="182" spans="1:14" x14ac:dyDescent="0.3">
      <c r="A182" s="1">
        <v>1181</v>
      </c>
      <c r="B182" s="2">
        <v>45394</v>
      </c>
      <c r="C182" s="1" t="s">
        <v>50</v>
      </c>
      <c r="D182" s="1" t="s">
        <v>51</v>
      </c>
      <c r="E182" s="1" t="s">
        <v>32</v>
      </c>
      <c r="F182" s="1" t="s">
        <v>15</v>
      </c>
      <c r="G182" s="1" t="s">
        <v>44</v>
      </c>
      <c r="H182" s="1">
        <v>18000</v>
      </c>
      <c r="I182" s="1">
        <v>4</v>
      </c>
      <c r="J182" s="1">
        <v>0.15</v>
      </c>
      <c r="K182" s="1">
        <v>61200</v>
      </c>
      <c r="L182" s="1">
        <v>17738.349999999999</v>
      </c>
      <c r="M182" s="8">
        <f t="shared" ca="1" si="4"/>
        <v>46011.04483136574</v>
      </c>
      <c r="N182" s="9" t="str">
        <f t="shared" si="5"/>
        <v>Apr</v>
      </c>
    </row>
    <row r="183" spans="1:14" x14ac:dyDescent="0.3">
      <c r="A183" s="1">
        <v>1182</v>
      </c>
      <c r="B183" s="2">
        <v>45299</v>
      </c>
      <c r="C183" s="1" t="s">
        <v>46</v>
      </c>
      <c r="D183" s="1" t="s">
        <v>47</v>
      </c>
      <c r="E183" s="1" t="s">
        <v>32</v>
      </c>
      <c r="F183" s="1" t="s">
        <v>33</v>
      </c>
      <c r="G183" s="1" t="s">
        <v>52</v>
      </c>
      <c r="H183" s="1">
        <v>12000</v>
      </c>
      <c r="I183" s="1">
        <v>1</v>
      </c>
      <c r="J183" s="1">
        <v>0.05</v>
      </c>
      <c r="K183" s="1">
        <v>11400</v>
      </c>
      <c r="L183" s="1">
        <v>3167.77</v>
      </c>
      <c r="M183" s="8">
        <f t="shared" ca="1" si="4"/>
        <v>46011.04483136574</v>
      </c>
      <c r="N183" s="9" t="str">
        <f t="shared" si="5"/>
        <v>Jan</v>
      </c>
    </row>
    <row r="184" spans="1:14" x14ac:dyDescent="0.3">
      <c r="A184" s="1">
        <v>1183</v>
      </c>
      <c r="B184" s="2">
        <v>45354</v>
      </c>
      <c r="C184" s="1" t="s">
        <v>46</v>
      </c>
      <c r="D184" s="1" t="s">
        <v>47</v>
      </c>
      <c r="E184" s="1" t="s">
        <v>29</v>
      </c>
      <c r="F184" s="1" t="s">
        <v>20</v>
      </c>
      <c r="G184" s="1" t="s">
        <v>21</v>
      </c>
      <c r="H184" s="1">
        <v>200</v>
      </c>
      <c r="I184" s="1">
        <v>5</v>
      </c>
      <c r="J184" s="1">
        <v>0.15</v>
      </c>
      <c r="K184" s="1">
        <v>850</v>
      </c>
      <c r="L184" s="1">
        <v>257.86</v>
      </c>
      <c r="M184" s="8">
        <f t="shared" ca="1" si="4"/>
        <v>46011.04483136574</v>
      </c>
      <c r="N184" s="9" t="str">
        <f t="shared" si="5"/>
        <v>Mar</v>
      </c>
    </row>
    <row r="185" spans="1:14" x14ac:dyDescent="0.3">
      <c r="A185" s="1">
        <v>1184</v>
      </c>
      <c r="B185" s="2">
        <v>45385</v>
      </c>
      <c r="C185" s="1" t="s">
        <v>36</v>
      </c>
      <c r="D185" s="1" t="s">
        <v>37</v>
      </c>
      <c r="E185" s="1" t="s">
        <v>19</v>
      </c>
      <c r="F185" s="1" t="s">
        <v>20</v>
      </c>
      <c r="G185" s="1" t="s">
        <v>38</v>
      </c>
      <c r="H185" s="1">
        <v>350</v>
      </c>
      <c r="I185" s="1">
        <v>4</v>
      </c>
      <c r="J185" s="1">
        <v>0</v>
      </c>
      <c r="K185" s="1">
        <v>1400</v>
      </c>
      <c r="L185" s="1">
        <v>377.21</v>
      </c>
      <c r="M185" s="8">
        <f t="shared" ca="1" si="4"/>
        <v>46011.04483136574</v>
      </c>
      <c r="N185" s="9" t="str">
        <f t="shared" si="5"/>
        <v>Apr</v>
      </c>
    </row>
    <row r="186" spans="1:14" x14ac:dyDescent="0.3">
      <c r="A186" s="1">
        <v>1185</v>
      </c>
      <c r="B186" s="2">
        <v>45439</v>
      </c>
      <c r="C186" s="1" t="s">
        <v>17</v>
      </c>
      <c r="D186" s="1" t="s">
        <v>18</v>
      </c>
      <c r="E186" s="1" t="s">
        <v>32</v>
      </c>
      <c r="F186" s="1" t="s">
        <v>20</v>
      </c>
      <c r="G186" s="1" t="s">
        <v>21</v>
      </c>
      <c r="H186" s="1">
        <v>200</v>
      </c>
      <c r="I186" s="1">
        <v>4</v>
      </c>
      <c r="J186" s="1">
        <v>0.15</v>
      </c>
      <c r="K186" s="1">
        <v>680</v>
      </c>
      <c r="L186" s="1">
        <v>146.76</v>
      </c>
      <c r="M186" s="8">
        <f t="shared" ca="1" si="4"/>
        <v>46011.04483136574</v>
      </c>
      <c r="N186" s="9" t="str">
        <f t="shared" si="5"/>
        <v>May</v>
      </c>
    </row>
    <row r="187" spans="1:14" x14ac:dyDescent="0.3">
      <c r="A187" s="1">
        <v>1186</v>
      </c>
      <c r="B187" s="2">
        <v>45366</v>
      </c>
      <c r="C187" s="1" t="s">
        <v>41</v>
      </c>
      <c r="D187" s="1" t="s">
        <v>42</v>
      </c>
      <c r="E187" s="1" t="s">
        <v>19</v>
      </c>
      <c r="F187" s="1" t="s">
        <v>20</v>
      </c>
      <c r="G187" s="1" t="s">
        <v>38</v>
      </c>
      <c r="H187" s="1">
        <v>350</v>
      </c>
      <c r="I187" s="1">
        <v>4</v>
      </c>
      <c r="J187" s="1">
        <v>0</v>
      </c>
      <c r="K187" s="1">
        <v>1400</v>
      </c>
      <c r="L187" s="1">
        <v>278.35000000000002</v>
      </c>
      <c r="M187" s="8">
        <f t="shared" ca="1" si="4"/>
        <v>46011.04483136574</v>
      </c>
      <c r="N187" s="9" t="str">
        <f t="shared" si="5"/>
        <v>Mar</v>
      </c>
    </row>
    <row r="188" spans="1:14" x14ac:dyDescent="0.3">
      <c r="A188" s="1">
        <v>1187</v>
      </c>
      <c r="B188" s="2">
        <v>45409</v>
      </c>
      <c r="C188" s="1" t="s">
        <v>12</v>
      </c>
      <c r="D188" s="1" t="s">
        <v>13</v>
      </c>
      <c r="E188" s="1" t="s">
        <v>14</v>
      </c>
      <c r="F188" s="1" t="s">
        <v>15</v>
      </c>
      <c r="G188" s="1" t="s">
        <v>44</v>
      </c>
      <c r="H188" s="1">
        <v>18000</v>
      </c>
      <c r="I188" s="1">
        <v>4</v>
      </c>
      <c r="J188" s="1">
        <v>0.1</v>
      </c>
      <c r="K188" s="1">
        <v>64800</v>
      </c>
      <c r="L188" s="1">
        <v>14652.96</v>
      </c>
      <c r="M188" s="8">
        <f t="shared" ca="1" si="4"/>
        <v>46011.04483136574</v>
      </c>
      <c r="N188" s="9" t="str">
        <f t="shared" si="5"/>
        <v>Apr</v>
      </c>
    </row>
    <row r="189" spans="1:14" x14ac:dyDescent="0.3">
      <c r="A189" s="1">
        <v>1188</v>
      </c>
      <c r="B189" s="2">
        <v>45307</v>
      </c>
      <c r="C189" s="1" t="s">
        <v>27</v>
      </c>
      <c r="D189" s="1" t="s">
        <v>28</v>
      </c>
      <c r="E189" s="1" t="s">
        <v>29</v>
      </c>
      <c r="F189" s="1" t="s">
        <v>20</v>
      </c>
      <c r="G189" s="1" t="s">
        <v>21</v>
      </c>
      <c r="H189" s="1">
        <v>200</v>
      </c>
      <c r="I189" s="1">
        <v>2</v>
      </c>
      <c r="J189" s="1">
        <v>0.1</v>
      </c>
      <c r="K189" s="1">
        <v>360</v>
      </c>
      <c r="L189" s="1">
        <v>59.92</v>
      </c>
      <c r="M189" s="8">
        <f t="shared" ca="1" si="4"/>
        <v>46011.04483136574</v>
      </c>
      <c r="N189" s="9" t="str">
        <f t="shared" si="5"/>
        <v>Jan</v>
      </c>
    </row>
    <row r="190" spans="1:14" x14ac:dyDescent="0.3">
      <c r="A190" s="1">
        <v>1189</v>
      </c>
      <c r="B190" s="2">
        <v>45363</v>
      </c>
      <c r="C190" s="1" t="s">
        <v>50</v>
      </c>
      <c r="D190" s="1" t="s">
        <v>51</v>
      </c>
      <c r="E190" s="1" t="s">
        <v>14</v>
      </c>
      <c r="F190" s="1" t="s">
        <v>20</v>
      </c>
      <c r="G190" s="1" t="s">
        <v>45</v>
      </c>
      <c r="H190" s="1">
        <v>500</v>
      </c>
      <c r="I190" s="1">
        <v>3</v>
      </c>
      <c r="J190" s="1">
        <v>0.15</v>
      </c>
      <c r="K190" s="1">
        <v>1275</v>
      </c>
      <c r="L190" s="1">
        <v>255.73</v>
      </c>
      <c r="M190" s="8">
        <f t="shared" ca="1" si="4"/>
        <v>46011.04483136574</v>
      </c>
      <c r="N190" s="9" t="str">
        <f t="shared" si="5"/>
        <v>Mar</v>
      </c>
    </row>
    <row r="191" spans="1:14" x14ac:dyDescent="0.3">
      <c r="A191" s="1">
        <v>1190</v>
      </c>
      <c r="B191" s="2">
        <v>45415</v>
      </c>
      <c r="C191" s="1" t="s">
        <v>39</v>
      </c>
      <c r="D191" s="1" t="s">
        <v>40</v>
      </c>
      <c r="E191" s="1" t="s">
        <v>29</v>
      </c>
      <c r="F191" s="1" t="s">
        <v>33</v>
      </c>
      <c r="G191" s="1" t="s">
        <v>43</v>
      </c>
      <c r="H191" s="1">
        <v>7500</v>
      </c>
      <c r="I191" s="1">
        <v>1</v>
      </c>
      <c r="J191" s="1">
        <v>0.15</v>
      </c>
      <c r="K191" s="1">
        <v>6375</v>
      </c>
      <c r="L191" s="1">
        <v>1469.81</v>
      </c>
      <c r="M191" s="8">
        <f t="shared" ca="1" si="4"/>
        <v>46011.04483136574</v>
      </c>
      <c r="N191" s="9" t="str">
        <f t="shared" si="5"/>
        <v>May</v>
      </c>
    </row>
    <row r="192" spans="1:14" x14ac:dyDescent="0.3">
      <c r="A192" s="1">
        <v>1191</v>
      </c>
      <c r="B192" s="2">
        <v>45362</v>
      </c>
      <c r="C192" s="1" t="s">
        <v>25</v>
      </c>
      <c r="D192" s="1" t="s">
        <v>26</v>
      </c>
      <c r="E192" s="1" t="s">
        <v>29</v>
      </c>
      <c r="F192" s="1" t="s">
        <v>15</v>
      </c>
      <c r="G192" s="1" t="s">
        <v>44</v>
      </c>
      <c r="H192" s="1">
        <v>18000</v>
      </c>
      <c r="I192" s="1">
        <v>1</v>
      </c>
      <c r="J192" s="1">
        <v>0</v>
      </c>
      <c r="K192" s="1">
        <v>18000</v>
      </c>
      <c r="L192" s="1">
        <v>3430.64</v>
      </c>
      <c r="M192" s="8">
        <f t="shared" ca="1" si="4"/>
        <v>46011.04483136574</v>
      </c>
      <c r="N192" s="9" t="str">
        <f t="shared" si="5"/>
        <v>Mar</v>
      </c>
    </row>
    <row r="193" spans="1:14" x14ac:dyDescent="0.3">
      <c r="A193" s="1">
        <v>1192</v>
      </c>
      <c r="B193" s="2">
        <v>45306</v>
      </c>
      <c r="C193" s="1" t="s">
        <v>30</v>
      </c>
      <c r="D193" s="1" t="s">
        <v>31</v>
      </c>
      <c r="E193" s="1" t="s">
        <v>29</v>
      </c>
      <c r="F193" s="1" t="s">
        <v>15</v>
      </c>
      <c r="G193" s="1" t="s">
        <v>16</v>
      </c>
      <c r="H193" s="1">
        <v>3000</v>
      </c>
      <c r="I193" s="1">
        <v>2</v>
      </c>
      <c r="J193" s="1">
        <v>0.05</v>
      </c>
      <c r="K193" s="1">
        <v>5700</v>
      </c>
      <c r="L193" s="1">
        <v>1582.32</v>
      </c>
      <c r="M193" s="8">
        <f t="shared" ca="1" si="4"/>
        <v>46011.04483136574</v>
      </c>
      <c r="N193" s="9" t="str">
        <f t="shared" si="5"/>
        <v>Jan</v>
      </c>
    </row>
    <row r="194" spans="1:14" x14ac:dyDescent="0.3">
      <c r="A194" s="1">
        <v>1193</v>
      </c>
      <c r="B194" s="2">
        <v>45317</v>
      </c>
      <c r="C194" s="1" t="s">
        <v>39</v>
      </c>
      <c r="D194" s="1" t="s">
        <v>40</v>
      </c>
      <c r="E194" s="1" t="s">
        <v>29</v>
      </c>
      <c r="F194" s="1" t="s">
        <v>15</v>
      </c>
      <c r="G194" s="1" t="s">
        <v>24</v>
      </c>
      <c r="H194" s="1">
        <v>22000</v>
      </c>
      <c r="I194" s="1">
        <v>2</v>
      </c>
      <c r="J194" s="1">
        <v>0</v>
      </c>
      <c r="K194" s="1">
        <v>44000</v>
      </c>
      <c r="L194" s="1">
        <v>11362.15</v>
      </c>
      <c r="M194" s="8">
        <f t="shared" ca="1" si="4"/>
        <v>46011.04483136574</v>
      </c>
      <c r="N194" s="9" t="str">
        <f t="shared" si="5"/>
        <v>Jan</v>
      </c>
    </row>
    <row r="195" spans="1:14" x14ac:dyDescent="0.3">
      <c r="A195" s="1">
        <v>1194</v>
      </c>
      <c r="B195" s="2">
        <v>45409</v>
      </c>
      <c r="C195" s="1" t="s">
        <v>48</v>
      </c>
      <c r="D195" s="1" t="s">
        <v>49</v>
      </c>
      <c r="E195" s="1" t="s">
        <v>19</v>
      </c>
      <c r="F195" s="1" t="s">
        <v>15</v>
      </c>
      <c r="G195" s="1" t="s">
        <v>16</v>
      </c>
      <c r="H195" s="1">
        <v>3000</v>
      </c>
      <c r="I195" s="1">
        <v>3</v>
      </c>
      <c r="J195" s="1">
        <v>0.05</v>
      </c>
      <c r="K195" s="1">
        <v>8550</v>
      </c>
      <c r="L195" s="1">
        <v>2654.79</v>
      </c>
      <c r="M195" s="8">
        <f t="shared" ref="M195:M258" ca="1" si="6">NOW()</f>
        <v>46011.04483136574</v>
      </c>
      <c r="N195" s="9" t="str">
        <f t="shared" ref="N195:N258" si="7">TEXT(B195,"mmm")</f>
        <v>Apr</v>
      </c>
    </row>
    <row r="196" spans="1:14" x14ac:dyDescent="0.3">
      <c r="A196" s="1">
        <v>1195</v>
      </c>
      <c r="B196" s="2">
        <v>45295</v>
      </c>
      <c r="C196" s="1" t="s">
        <v>36</v>
      </c>
      <c r="D196" s="1" t="s">
        <v>37</v>
      </c>
      <c r="E196" s="1" t="s">
        <v>32</v>
      </c>
      <c r="F196" s="1" t="s">
        <v>20</v>
      </c>
      <c r="G196" s="1" t="s">
        <v>45</v>
      </c>
      <c r="H196" s="1">
        <v>500</v>
      </c>
      <c r="I196" s="1">
        <v>5</v>
      </c>
      <c r="J196" s="1">
        <v>0.05</v>
      </c>
      <c r="K196" s="1">
        <v>2375</v>
      </c>
      <c r="L196" s="1">
        <v>577.41</v>
      </c>
      <c r="M196" s="8">
        <f t="shared" ca="1" si="6"/>
        <v>46011.04483136574</v>
      </c>
      <c r="N196" s="9" t="str">
        <f t="shared" si="7"/>
        <v>Jan</v>
      </c>
    </row>
    <row r="197" spans="1:14" x14ac:dyDescent="0.3">
      <c r="A197" s="1">
        <v>1196</v>
      </c>
      <c r="B197" s="2">
        <v>45388</v>
      </c>
      <c r="C197" s="1" t="s">
        <v>36</v>
      </c>
      <c r="D197" s="1" t="s">
        <v>37</v>
      </c>
      <c r="E197" s="1" t="s">
        <v>32</v>
      </c>
      <c r="F197" s="1" t="s">
        <v>33</v>
      </c>
      <c r="G197" s="1" t="s">
        <v>43</v>
      </c>
      <c r="H197" s="1">
        <v>7500</v>
      </c>
      <c r="I197" s="1">
        <v>2</v>
      </c>
      <c r="J197" s="1">
        <v>0</v>
      </c>
      <c r="K197" s="1">
        <v>15000</v>
      </c>
      <c r="L197" s="1">
        <v>4700.28</v>
      </c>
      <c r="M197" s="8">
        <f t="shared" ca="1" si="6"/>
        <v>46011.04483136574</v>
      </c>
      <c r="N197" s="9" t="str">
        <f t="shared" si="7"/>
        <v>Apr</v>
      </c>
    </row>
    <row r="198" spans="1:14" x14ac:dyDescent="0.3">
      <c r="A198" s="1">
        <v>1197</v>
      </c>
      <c r="B198" s="2">
        <v>45408</v>
      </c>
      <c r="C198" s="1" t="s">
        <v>17</v>
      </c>
      <c r="D198" s="1" t="s">
        <v>18</v>
      </c>
      <c r="E198" s="1" t="s">
        <v>14</v>
      </c>
      <c r="F198" s="1" t="s">
        <v>33</v>
      </c>
      <c r="G198" s="1" t="s">
        <v>43</v>
      </c>
      <c r="H198" s="1">
        <v>7500</v>
      </c>
      <c r="I198" s="1">
        <v>2</v>
      </c>
      <c r="J198" s="1">
        <v>0.1</v>
      </c>
      <c r="K198" s="1">
        <v>13500</v>
      </c>
      <c r="L198" s="1">
        <v>2719.35</v>
      </c>
      <c r="M198" s="8">
        <f t="shared" ca="1" si="6"/>
        <v>46011.04483136574</v>
      </c>
      <c r="N198" s="9" t="str">
        <f t="shared" si="7"/>
        <v>Apr</v>
      </c>
    </row>
    <row r="199" spans="1:14" x14ac:dyDescent="0.3">
      <c r="A199" s="1">
        <v>1198</v>
      </c>
      <c r="B199" s="2">
        <v>45406</v>
      </c>
      <c r="C199" s="1" t="s">
        <v>25</v>
      </c>
      <c r="D199" s="1" t="s">
        <v>26</v>
      </c>
      <c r="E199" s="1" t="s">
        <v>19</v>
      </c>
      <c r="F199" s="1" t="s">
        <v>20</v>
      </c>
      <c r="G199" s="1" t="s">
        <v>45</v>
      </c>
      <c r="H199" s="1">
        <v>500</v>
      </c>
      <c r="I199" s="1">
        <v>5</v>
      </c>
      <c r="J199" s="1">
        <v>0</v>
      </c>
      <c r="K199" s="1">
        <v>2500</v>
      </c>
      <c r="L199" s="1">
        <v>778.31</v>
      </c>
      <c r="M199" s="8">
        <f t="shared" ca="1" si="6"/>
        <v>46011.04483136574</v>
      </c>
      <c r="N199" s="9" t="str">
        <f t="shared" si="7"/>
        <v>Apr</v>
      </c>
    </row>
    <row r="200" spans="1:14" x14ac:dyDescent="0.3">
      <c r="A200" s="1">
        <v>1199</v>
      </c>
      <c r="B200" s="2">
        <v>45324</v>
      </c>
      <c r="C200" s="1" t="s">
        <v>36</v>
      </c>
      <c r="D200" s="1" t="s">
        <v>37</v>
      </c>
      <c r="E200" s="1" t="s">
        <v>19</v>
      </c>
      <c r="F200" s="1" t="s">
        <v>15</v>
      </c>
      <c r="G200" s="1" t="s">
        <v>16</v>
      </c>
      <c r="H200" s="1">
        <v>3000</v>
      </c>
      <c r="I200" s="1">
        <v>5</v>
      </c>
      <c r="J200" s="1">
        <v>0.05</v>
      </c>
      <c r="K200" s="1">
        <v>14250</v>
      </c>
      <c r="L200" s="1">
        <v>4964.3999999999996</v>
      </c>
      <c r="M200" s="8">
        <f t="shared" ca="1" si="6"/>
        <v>46011.04483136574</v>
      </c>
      <c r="N200" s="9" t="str">
        <f t="shared" si="7"/>
        <v>Feb</v>
      </c>
    </row>
    <row r="201" spans="1:14" x14ac:dyDescent="0.3">
      <c r="A201" s="1">
        <v>1200</v>
      </c>
      <c r="B201" s="2">
        <v>45458</v>
      </c>
      <c r="C201" s="1" t="s">
        <v>36</v>
      </c>
      <c r="D201" s="1" t="s">
        <v>37</v>
      </c>
      <c r="E201" s="1" t="s">
        <v>32</v>
      </c>
      <c r="F201" s="1" t="s">
        <v>20</v>
      </c>
      <c r="G201" s="1" t="s">
        <v>38</v>
      </c>
      <c r="H201" s="1">
        <v>350</v>
      </c>
      <c r="I201" s="1">
        <v>3</v>
      </c>
      <c r="J201" s="1">
        <v>0</v>
      </c>
      <c r="K201" s="1">
        <v>1050</v>
      </c>
      <c r="L201" s="1">
        <v>310.98</v>
      </c>
      <c r="M201" s="8">
        <f t="shared" ca="1" si="6"/>
        <v>46011.04483136574</v>
      </c>
      <c r="N201" s="9" t="str">
        <f t="shared" si="7"/>
        <v>Jun</v>
      </c>
    </row>
    <row r="202" spans="1:14" x14ac:dyDescent="0.3">
      <c r="A202" s="1">
        <v>1201</v>
      </c>
      <c r="B202" s="2">
        <v>45447</v>
      </c>
      <c r="C202" s="1" t="s">
        <v>36</v>
      </c>
      <c r="D202" s="1" t="s">
        <v>37</v>
      </c>
      <c r="E202" s="1" t="s">
        <v>14</v>
      </c>
      <c r="F202" s="1" t="s">
        <v>15</v>
      </c>
      <c r="G202" s="1" t="s">
        <v>16</v>
      </c>
      <c r="H202" s="1">
        <v>3000</v>
      </c>
      <c r="I202" s="1">
        <v>2</v>
      </c>
      <c r="J202" s="1">
        <v>0.1</v>
      </c>
      <c r="K202" s="1">
        <v>5400</v>
      </c>
      <c r="L202" s="1">
        <v>1496.54</v>
      </c>
      <c r="M202" s="8">
        <f t="shared" ca="1" si="6"/>
        <v>46011.04483136574</v>
      </c>
      <c r="N202" s="9" t="str">
        <f t="shared" si="7"/>
        <v>Jun</v>
      </c>
    </row>
    <row r="203" spans="1:14" x14ac:dyDescent="0.3">
      <c r="A203" s="1">
        <v>1202</v>
      </c>
      <c r="B203" s="2">
        <v>45294</v>
      </c>
      <c r="C203" s="1" t="s">
        <v>17</v>
      </c>
      <c r="D203" s="1" t="s">
        <v>18</v>
      </c>
      <c r="E203" s="1" t="s">
        <v>32</v>
      </c>
      <c r="F203" s="1" t="s">
        <v>33</v>
      </c>
      <c r="G203" s="1" t="s">
        <v>34</v>
      </c>
      <c r="H203" s="1">
        <v>9500</v>
      </c>
      <c r="I203" s="1">
        <v>3</v>
      </c>
      <c r="J203" s="1">
        <v>0</v>
      </c>
      <c r="K203" s="1">
        <v>28500</v>
      </c>
      <c r="L203" s="1">
        <v>9520.84</v>
      </c>
      <c r="M203" s="8">
        <f t="shared" ca="1" si="6"/>
        <v>46011.04483136574</v>
      </c>
      <c r="N203" s="9" t="str">
        <f t="shared" si="7"/>
        <v>Jan</v>
      </c>
    </row>
    <row r="204" spans="1:14" x14ac:dyDescent="0.3">
      <c r="A204" s="1">
        <v>1203</v>
      </c>
      <c r="B204" s="2">
        <v>45406</v>
      </c>
      <c r="C204" s="1" t="s">
        <v>36</v>
      </c>
      <c r="D204" s="1" t="s">
        <v>37</v>
      </c>
      <c r="E204" s="1" t="s">
        <v>19</v>
      </c>
      <c r="F204" s="1" t="s">
        <v>33</v>
      </c>
      <c r="G204" s="1" t="s">
        <v>34</v>
      </c>
      <c r="H204" s="1">
        <v>9500</v>
      </c>
      <c r="I204" s="1">
        <v>1</v>
      </c>
      <c r="J204" s="1">
        <v>0.05</v>
      </c>
      <c r="K204" s="1">
        <v>9025</v>
      </c>
      <c r="L204" s="1">
        <v>2274.75</v>
      </c>
      <c r="M204" s="8">
        <f t="shared" ca="1" si="6"/>
        <v>46011.04483136574</v>
      </c>
      <c r="N204" s="9" t="str">
        <f t="shared" si="7"/>
        <v>Apr</v>
      </c>
    </row>
    <row r="205" spans="1:14" x14ac:dyDescent="0.3">
      <c r="A205" s="1">
        <v>1204</v>
      </c>
      <c r="B205" s="2">
        <v>45413</v>
      </c>
      <c r="C205" s="1" t="s">
        <v>46</v>
      </c>
      <c r="D205" s="1" t="s">
        <v>47</v>
      </c>
      <c r="E205" s="1" t="s">
        <v>29</v>
      </c>
      <c r="F205" s="1" t="s">
        <v>20</v>
      </c>
      <c r="G205" s="1" t="s">
        <v>21</v>
      </c>
      <c r="H205" s="1">
        <v>200</v>
      </c>
      <c r="I205" s="1">
        <v>4</v>
      </c>
      <c r="J205" s="1">
        <v>0.05</v>
      </c>
      <c r="K205" s="1">
        <v>760</v>
      </c>
      <c r="L205" s="1">
        <v>154.87</v>
      </c>
      <c r="M205" s="8">
        <f t="shared" ca="1" si="6"/>
        <v>46011.04483136574</v>
      </c>
      <c r="N205" s="9" t="str">
        <f t="shared" si="7"/>
        <v>May</v>
      </c>
    </row>
    <row r="206" spans="1:14" x14ac:dyDescent="0.3">
      <c r="A206" s="1">
        <v>1205</v>
      </c>
      <c r="B206" s="2">
        <v>45424</v>
      </c>
      <c r="C206" s="1" t="s">
        <v>22</v>
      </c>
      <c r="D206" s="1" t="s">
        <v>23</v>
      </c>
      <c r="E206" s="1" t="s">
        <v>19</v>
      </c>
      <c r="F206" s="1" t="s">
        <v>15</v>
      </c>
      <c r="G206" s="1" t="s">
        <v>24</v>
      </c>
      <c r="H206" s="1">
        <v>22000</v>
      </c>
      <c r="I206" s="1">
        <v>2</v>
      </c>
      <c r="J206" s="1">
        <v>0.1</v>
      </c>
      <c r="K206" s="1">
        <v>39600</v>
      </c>
      <c r="L206" s="1">
        <v>10767.04</v>
      </c>
      <c r="M206" s="8">
        <f t="shared" ca="1" si="6"/>
        <v>46011.04483136574</v>
      </c>
      <c r="N206" s="9" t="str">
        <f t="shared" si="7"/>
        <v>May</v>
      </c>
    </row>
    <row r="207" spans="1:14" x14ac:dyDescent="0.3">
      <c r="A207" s="1">
        <v>1206</v>
      </c>
      <c r="B207" s="2">
        <v>45390</v>
      </c>
      <c r="C207" s="1" t="s">
        <v>17</v>
      </c>
      <c r="D207" s="1" t="s">
        <v>18</v>
      </c>
      <c r="E207" s="1" t="s">
        <v>14</v>
      </c>
      <c r="F207" s="1" t="s">
        <v>20</v>
      </c>
      <c r="G207" s="1" t="s">
        <v>21</v>
      </c>
      <c r="H207" s="1">
        <v>200</v>
      </c>
      <c r="I207" s="1">
        <v>5</v>
      </c>
      <c r="J207" s="1">
        <v>0.15</v>
      </c>
      <c r="K207" s="1">
        <v>850</v>
      </c>
      <c r="L207" s="1">
        <v>297.13</v>
      </c>
      <c r="M207" s="8">
        <f t="shared" ca="1" si="6"/>
        <v>46011.04483136574</v>
      </c>
      <c r="N207" s="9" t="str">
        <f t="shared" si="7"/>
        <v>Apr</v>
      </c>
    </row>
    <row r="208" spans="1:14" x14ac:dyDescent="0.3">
      <c r="A208" s="1">
        <v>1207</v>
      </c>
      <c r="B208" s="2">
        <v>45332</v>
      </c>
      <c r="C208" s="1" t="s">
        <v>50</v>
      </c>
      <c r="D208" s="1" t="s">
        <v>51</v>
      </c>
      <c r="E208" s="1" t="s">
        <v>32</v>
      </c>
      <c r="F208" s="1" t="s">
        <v>15</v>
      </c>
      <c r="G208" s="1" t="s">
        <v>16</v>
      </c>
      <c r="H208" s="1">
        <v>3000</v>
      </c>
      <c r="I208" s="1">
        <v>1</v>
      </c>
      <c r="J208" s="1">
        <v>0.05</v>
      </c>
      <c r="K208" s="1">
        <v>2850</v>
      </c>
      <c r="L208" s="1">
        <v>821.06</v>
      </c>
      <c r="M208" s="8">
        <f t="shared" ca="1" si="6"/>
        <v>46011.04483136574</v>
      </c>
      <c r="N208" s="9" t="str">
        <f t="shared" si="7"/>
        <v>Feb</v>
      </c>
    </row>
    <row r="209" spans="1:14" x14ac:dyDescent="0.3">
      <c r="A209" s="1">
        <v>1208</v>
      </c>
      <c r="B209" s="2">
        <v>45307</v>
      </c>
      <c r="C209" s="1" t="s">
        <v>46</v>
      </c>
      <c r="D209" s="1" t="s">
        <v>47</v>
      </c>
      <c r="E209" s="1" t="s">
        <v>14</v>
      </c>
      <c r="F209" s="1" t="s">
        <v>20</v>
      </c>
      <c r="G209" s="1" t="s">
        <v>45</v>
      </c>
      <c r="H209" s="1">
        <v>500</v>
      </c>
      <c r="I209" s="1">
        <v>3</v>
      </c>
      <c r="J209" s="1">
        <v>0.1</v>
      </c>
      <c r="K209" s="1">
        <v>1350</v>
      </c>
      <c r="L209" s="1">
        <v>276.56</v>
      </c>
      <c r="M209" s="8">
        <f t="shared" ca="1" si="6"/>
        <v>46011.04483136574</v>
      </c>
      <c r="N209" s="9" t="str">
        <f t="shared" si="7"/>
        <v>Jan</v>
      </c>
    </row>
    <row r="210" spans="1:14" x14ac:dyDescent="0.3">
      <c r="A210" s="1">
        <v>1209</v>
      </c>
      <c r="B210" s="2">
        <v>45382</v>
      </c>
      <c r="C210" s="1" t="s">
        <v>46</v>
      </c>
      <c r="D210" s="1" t="s">
        <v>47</v>
      </c>
      <c r="E210" s="1" t="s">
        <v>32</v>
      </c>
      <c r="F210" s="1" t="s">
        <v>33</v>
      </c>
      <c r="G210" s="1" t="s">
        <v>43</v>
      </c>
      <c r="H210" s="1">
        <v>7500</v>
      </c>
      <c r="I210" s="1">
        <v>4</v>
      </c>
      <c r="J210" s="1">
        <v>0.1</v>
      </c>
      <c r="K210" s="1">
        <v>27000</v>
      </c>
      <c r="L210" s="1">
        <v>9008.7099999999991</v>
      </c>
      <c r="M210" s="8">
        <f t="shared" ca="1" si="6"/>
        <v>46011.04483136574</v>
      </c>
      <c r="N210" s="9" t="str">
        <f t="shared" si="7"/>
        <v>Mar</v>
      </c>
    </row>
    <row r="211" spans="1:14" x14ac:dyDescent="0.3">
      <c r="A211" s="1">
        <v>1210</v>
      </c>
      <c r="B211" s="2">
        <v>45377</v>
      </c>
      <c r="C211" s="1" t="s">
        <v>22</v>
      </c>
      <c r="D211" s="1" t="s">
        <v>23</v>
      </c>
      <c r="E211" s="1" t="s">
        <v>29</v>
      </c>
      <c r="F211" s="1" t="s">
        <v>33</v>
      </c>
      <c r="G211" s="1" t="s">
        <v>52</v>
      </c>
      <c r="H211" s="1">
        <v>12000</v>
      </c>
      <c r="I211" s="1">
        <v>4</v>
      </c>
      <c r="J211" s="1">
        <v>0.05</v>
      </c>
      <c r="K211" s="1">
        <v>45600</v>
      </c>
      <c r="L211" s="1">
        <v>11560.25</v>
      </c>
      <c r="M211" s="8">
        <f t="shared" ca="1" si="6"/>
        <v>46011.04483136574</v>
      </c>
      <c r="N211" s="9" t="str">
        <f t="shared" si="7"/>
        <v>Mar</v>
      </c>
    </row>
    <row r="212" spans="1:14" x14ac:dyDescent="0.3">
      <c r="A212" s="1">
        <v>1211</v>
      </c>
      <c r="B212" s="2">
        <v>45437</v>
      </c>
      <c r="C212" s="1" t="s">
        <v>30</v>
      </c>
      <c r="D212" s="1" t="s">
        <v>31</v>
      </c>
      <c r="E212" s="1" t="s">
        <v>32</v>
      </c>
      <c r="F212" s="1" t="s">
        <v>15</v>
      </c>
      <c r="G212" s="1" t="s">
        <v>44</v>
      </c>
      <c r="H212" s="1">
        <v>18000</v>
      </c>
      <c r="I212" s="1">
        <v>3</v>
      </c>
      <c r="J212" s="1">
        <v>0.15</v>
      </c>
      <c r="K212" s="1">
        <v>45900</v>
      </c>
      <c r="L212" s="1">
        <v>10978.05</v>
      </c>
      <c r="M212" s="8">
        <f t="shared" ca="1" si="6"/>
        <v>46011.04483136574</v>
      </c>
      <c r="N212" s="9" t="str">
        <f t="shared" si="7"/>
        <v>May</v>
      </c>
    </row>
    <row r="213" spans="1:14" x14ac:dyDescent="0.3">
      <c r="A213" s="1">
        <v>1212</v>
      </c>
      <c r="B213" s="2">
        <v>45407</v>
      </c>
      <c r="C213" s="1" t="s">
        <v>17</v>
      </c>
      <c r="D213" s="1" t="s">
        <v>18</v>
      </c>
      <c r="E213" s="1" t="s">
        <v>32</v>
      </c>
      <c r="F213" s="1" t="s">
        <v>33</v>
      </c>
      <c r="G213" s="1" t="s">
        <v>52</v>
      </c>
      <c r="H213" s="1">
        <v>12000</v>
      </c>
      <c r="I213" s="1">
        <v>5</v>
      </c>
      <c r="J213" s="1">
        <v>0</v>
      </c>
      <c r="K213" s="1">
        <v>60000</v>
      </c>
      <c r="L213" s="1">
        <v>19316.21</v>
      </c>
      <c r="M213" s="8">
        <f t="shared" ca="1" si="6"/>
        <v>46011.04483136574</v>
      </c>
      <c r="N213" s="9" t="str">
        <f t="shared" si="7"/>
        <v>Apr</v>
      </c>
    </row>
    <row r="214" spans="1:14" x14ac:dyDescent="0.3">
      <c r="A214" s="1">
        <v>1213</v>
      </c>
      <c r="B214" s="2">
        <v>45400</v>
      </c>
      <c r="C214" s="1" t="s">
        <v>27</v>
      </c>
      <c r="D214" s="1" t="s">
        <v>28</v>
      </c>
      <c r="E214" s="1" t="s">
        <v>14</v>
      </c>
      <c r="F214" s="1" t="s">
        <v>20</v>
      </c>
      <c r="G214" s="1" t="s">
        <v>21</v>
      </c>
      <c r="H214" s="1">
        <v>200</v>
      </c>
      <c r="I214" s="1">
        <v>2</v>
      </c>
      <c r="J214" s="1">
        <v>0</v>
      </c>
      <c r="K214" s="1">
        <v>400</v>
      </c>
      <c r="L214" s="1">
        <v>79.849999999999994</v>
      </c>
      <c r="M214" s="8">
        <f t="shared" ca="1" si="6"/>
        <v>46011.04483136574</v>
      </c>
      <c r="N214" s="9" t="str">
        <f t="shared" si="7"/>
        <v>Apr</v>
      </c>
    </row>
    <row r="215" spans="1:14" x14ac:dyDescent="0.3">
      <c r="A215" s="1">
        <v>1214</v>
      </c>
      <c r="B215" s="2">
        <v>45451</v>
      </c>
      <c r="C215" s="1" t="s">
        <v>12</v>
      </c>
      <c r="D215" s="1" t="s">
        <v>13</v>
      </c>
      <c r="E215" s="1" t="s">
        <v>19</v>
      </c>
      <c r="F215" s="1" t="s">
        <v>20</v>
      </c>
      <c r="G215" s="1" t="s">
        <v>38</v>
      </c>
      <c r="H215" s="1">
        <v>350</v>
      </c>
      <c r="I215" s="1">
        <v>3</v>
      </c>
      <c r="J215" s="1">
        <v>0</v>
      </c>
      <c r="K215" s="1">
        <v>1050</v>
      </c>
      <c r="L215" s="1">
        <v>305.54000000000002</v>
      </c>
      <c r="M215" s="8">
        <f t="shared" ca="1" si="6"/>
        <v>46011.04483136574</v>
      </c>
      <c r="N215" s="9" t="str">
        <f t="shared" si="7"/>
        <v>Jun</v>
      </c>
    </row>
    <row r="216" spans="1:14" x14ac:dyDescent="0.3">
      <c r="A216" s="1">
        <v>1215</v>
      </c>
      <c r="B216" s="2">
        <v>45385</v>
      </c>
      <c r="C216" s="1" t="s">
        <v>41</v>
      </c>
      <c r="D216" s="1" t="s">
        <v>42</v>
      </c>
      <c r="E216" s="1" t="s">
        <v>19</v>
      </c>
      <c r="F216" s="1" t="s">
        <v>33</v>
      </c>
      <c r="G216" s="1" t="s">
        <v>43</v>
      </c>
      <c r="H216" s="1">
        <v>7500</v>
      </c>
      <c r="I216" s="1">
        <v>1</v>
      </c>
      <c r="J216" s="1">
        <v>0</v>
      </c>
      <c r="K216" s="1">
        <v>7500</v>
      </c>
      <c r="L216" s="1">
        <v>2062.46</v>
      </c>
      <c r="M216" s="8">
        <f t="shared" ca="1" si="6"/>
        <v>46011.04483136574</v>
      </c>
      <c r="N216" s="9" t="str">
        <f t="shared" si="7"/>
        <v>Apr</v>
      </c>
    </row>
    <row r="217" spans="1:14" x14ac:dyDescent="0.3">
      <c r="A217" s="1">
        <v>1216</v>
      </c>
      <c r="B217" s="2">
        <v>45376</v>
      </c>
      <c r="C217" s="1" t="s">
        <v>25</v>
      </c>
      <c r="D217" s="1" t="s">
        <v>26</v>
      </c>
      <c r="E217" s="1" t="s">
        <v>29</v>
      </c>
      <c r="F217" s="1" t="s">
        <v>20</v>
      </c>
      <c r="G217" s="1" t="s">
        <v>38</v>
      </c>
      <c r="H217" s="1">
        <v>350</v>
      </c>
      <c r="I217" s="1">
        <v>2</v>
      </c>
      <c r="J217" s="1">
        <v>0.15</v>
      </c>
      <c r="K217" s="1">
        <v>595</v>
      </c>
      <c r="L217" s="1">
        <v>204.73</v>
      </c>
      <c r="M217" s="8">
        <f t="shared" ca="1" si="6"/>
        <v>46011.04483136574</v>
      </c>
      <c r="N217" s="9" t="str">
        <f t="shared" si="7"/>
        <v>Mar</v>
      </c>
    </row>
    <row r="218" spans="1:14" x14ac:dyDescent="0.3">
      <c r="A218" s="1">
        <v>1217</v>
      </c>
      <c r="B218" s="2">
        <v>45389</v>
      </c>
      <c r="C218" s="1" t="s">
        <v>12</v>
      </c>
      <c r="D218" s="1" t="s">
        <v>13</v>
      </c>
      <c r="E218" s="1" t="s">
        <v>14</v>
      </c>
      <c r="F218" s="1" t="s">
        <v>33</v>
      </c>
      <c r="G218" s="1" t="s">
        <v>52</v>
      </c>
      <c r="H218" s="1">
        <v>12000</v>
      </c>
      <c r="I218" s="1">
        <v>5</v>
      </c>
      <c r="J218" s="1">
        <v>0.1</v>
      </c>
      <c r="K218" s="1">
        <v>54000</v>
      </c>
      <c r="L218" s="1">
        <v>9786.7900000000009</v>
      </c>
      <c r="M218" s="8">
        <f t="shared" ca="1" si="6"/>
        <v>46011.04483136574</v>
      </c>
      <c r="N218" s="9" t="str">
        <f t="shared" si="7"/>
        <v>Apr</v>
      </c>
    </row>
    <row r="219" spans="1:14" x14ac:dyDescent="0.3">
      <c r="A219" s="1">
        <v>1218</v>
      </c>
      <c r="B219" s="2">
        <v>45412</v>
      </c>
      <c r="C219" s="1" t="s">
        <v>36</v>
      </c>
      <c r="D219" s="1" t="s">
        <v>37</v>
      </c>
      <c r="E219" s="1" t="s">
        <v>32</v>
      </c>
      <c r="F219" s="1" t="s">
        <v>15</v>
      </c>
      <c r="G219" s="1" t="s">
        <v>24</v>
      </c>
      <c r="H219" s="1">
        <v>22000</v>
      </c>
      <c r="I219" s="1">
        <v>5</v>
      </c>
      <c r="J219" s="1">
        <v>0.1</v>
      </c>
      <c r="K219" s="1">
        <v>99000</v>
      </c>
      <c r="L219" s="1">
        <v>30738.76</v>
      </c>
      <c r="M219" s="8">
        <f t="shared" ca="1" si="6"/>
        <v>46011.04483136574</v>
      </c>
      <c r="N219" s="9" t="str">
        <f t="shared" si="7"/>
        <v>Apr</v>
      </c>
    </row>
    <row r="220" spans="1:14" x14ac:dyDescent="0.3">
      <c r="A220" s="1">
        <v>1219</v>
      </c>
      <c r="B220" s="2">
        <v>45304</v>
      </c>
      <c r="C220" s="1" t="s">
        <v>41</v>
      </c>
      <c r="D220" s="1" t="s">
        <v>42</v>
      </c>
      <c r="E220" s="1" t="s">
        <v>14</v>
      </c>
      <c r="F220" s="1" t="s">
        <v>33</v>
      </c>
      <c r="G220" s="1" t="s">
        <v>52</v>
      </c>
      <c r="H220" s="1">
        <v>12000</v>
      </c>
      <c r="I220" s="1">
        <v>2</v>
      </c>
      <c r="J220" s="1">
        <v>0.15</v>
      </c>
      <c r="K220" s="1">
        <v>20400</v>
      </c>
      <c r="L220" s="1">
        <v>6064</v>
      </c>
      <c r="M220" s="8">
        <f t="shared" ca="1" si="6"/>
        <v>46011.04483136574</v>
      </c>
      <c r="N220" s="9" t="str">
        <f t="shared" si="7"/>
        <v>Jan</v>
      </c>
    </row>
    <row r="221" spans="1:14" x14ac:dyDescent="0.3">
      <c r="A221" s="1">
        <v>1220</v>
      </c>
      <c r="B221" s="2">
        <v>45351</v>
      </c>
      <c r="C221" s="1" t="s">
        <v>50</v>
      </c>
      <c r="D221" s="1" t="s">
        <v>51</v>
      </c>
      <c r="E221" s="1" t="s">
        <v>19</v>
      </c>
      <c r="F221" s="1" t="s">
        <v>33</v>
      </c>
      <c r="G221" s="1" t="s">
        <v>52</v>
      </c>
      <c r="H221" s="1">
        <v>12000</v>
      </c>
      <c r="I221" s="1">
        <v>2</v>
      </c>
      <c r="J221" s="1">
        <v>0</v>
      </c>
      <c r="K221" s="1">
        <v>24000</v>
      </c>
      <c r="L221" s="1">
        <v>3970.02</v>
      </c>
      <c r="M221" s="8">
        <f t="shared" ca="1" si="6"/>
        <v>46011.04483136574</v>
      </c>
      <c r="N221" s="9" t="str">
        <f t="shared" si="7"/>
        <v>Feb</v>
      </c>
    </row>
    <row r="222" spans="1:14" x14ac:dyDescent="0.3">
      <c r="A222" s="1">
        <v>1221</v>
      </c>
      <c r="B222" s="2">
        <v>45355</v>
      </c>
      <c r="C222" s="1" t="s">
        <v>27</v>
      </c>
      <c r="D222" s="1" t="s">
        <v>28</v>
      </c>
      <c r="E222" s="1" t="s">
        <v>14</v>
      </c>
      <c r="F222" s="1" t="s">
        <v>33</v>
      </c>
      <c r="G222" s="1" t="s">
        <v>52</v>
      </c>
      <c r="H222" s="1">
        <v>12000</v>
      </c>
      <c r="I222" s="1">
        <v>1</v>
      </c>
      <c r="J222" s="1">
        <v>0.15</v>
      </c>
      <c r="K222" s="1">
        <v>10200</v>
      </c>
      <c r="L222" s="1">
        <v>3460.46</v>
      </c>
      <c r="M222" s="8">
        <f t="shared" ca="1" si="6"/>
        <v>46011.04483136574</v>
      </c>
      <c r="N222" s="9" t="str">
        <f t="shared" si="7"/>
        <v>Mar</v>
      </c>
    </row>
    <row r="223" spans="1:14" x14ac:dyDescent="0.3">
      <c r="A223" s="1">
        <v>1222</v>
      </c>
      <c r="B223" s="2">
        <v>45388</v>
      </c>
      <c r="C223" s="1" t="s">
        <v>22</v>
      </c>
      <c r="D223" s="1" t="s">
        <v>23</v>
      </c>
      <c r="E223" s="1" t="s">
        <v>19</v>
      </c>
      <c r="F223" s="1" t="s">
        <v>15</v>
      </c>
      <c r="G223" s="1" t="s">
        <v>16</v>
      </c>
      <c r="H223" s="1">
        <v>3000</v>
      </c>
      <c r="I223" s="1">
        <v>3</v>
      </c>
      <c r="J223" s="1">
        <v>0</v>
      </c>
      <c r="K223" s="1">
        <v>9000</v>
      </c>
      <c r="L223" s="1">
        <v>2248.89</v>
      </c>
      <c r="M223" s="8">
        <f t="shared" ca="1" si="6"/>
        <v>46011.04483136574</v>
      </c>
      <c r="N223" s="9" t="str">
        <f t="shared" si="7"/>
        <v>Apr</v>
      </c>
    </row>
    <row r="224" spans="1:14" x14ac:dyDescent="0.3">
      <c r="A224" s="1">
        <v>1223</v>
      </c>
      <c r="B224" s="2">
        <v>45360</v>
      </c>
      <c r="C224" s="1" t="s">
        <v>17</v>
      </c>
      <c r="D224" s="1" t="s">
        <v>18</v>
      </c>
      <c r="E224" s="1" t="s">
        <v>14</v>
      </c>
      <c r="F224" s="1" t="s">
        <v>15</v>
      </c>
      <c r="G224" s="1" t="s">
        <v>16</v>
      </c>
      <c r="H224" s="1">
        <v>3000</v>
      </c>
      <c r="I224" s="1">
        <v>5</v>
      </c>
      <c r="J224" s="1">
        <v>0.1</v>
      </c>
      <c r="K224" s="1">
        <v>13500</v>
      </c>
      <c r="L224" s="1">
        <v>2952.52</v>
      </c>
      <c r="M224" s="8">
        <f t="shared" ca="1" si="6"/>
        <v>46011.04483136574</v>
      </c>
      <c r="N224" s="9" t="str">
        <f t="shared" si="7"/>
        <v>Mar</v>
      </c>
    </row>
    <row r="225" spans="1:14" x14ac:dyDescent="0.3">
      <c r="A225" s="1">
        <v>1224</v>
      </c>
      <c r="B225" s="2">
        <v>45369</v>
      </c>
      <c r="C225" s="1" t="s">
        <v>48</v>
      </c>
      <c r="D225" s="1" t="s">
        <v>49</v>
      </c>
      <c r="E225" s="1" t="s">
        <v>29</v>
      </c>
      <c r="F225" s="1" t="s">
        <v>20</v>
      </c>
      <c r="G225" s="1" t="s">
        <v>38</v>
      </c>
      <c r="H225" s="1">
        <v>350</v>
      </c>
      <c r="I225" s="1">
        <v>1</v>
      </c>
      <c r="J225" s="1">
        <v>0</v>
      </c>
      <c r="K225" s="1">
        <v>350</v>
      </c>
      <c r="L225" s="1">
        <v>103.19</v>
      </c>
      <c r="M225" s="8">
        <f t="shared" ca="1" si="6"/>
        <v>46011.04483136574</v>
      </c>
      <c r="N225" s="9" t="str">
        <f t="shared" si="7"/>
        <v>Mar</v>
      </c>
    </row>
    <row r="226" spans="1:14" x14ac:dyDescent="0.3">
      <c r="A226" s="1">
        <v>1225</v>
      </c>
      <c r="B226" s="2">
        <v>45420</v>
      </c>
      <c r="C226" s="1" t="s">
        <v>12</v>
      </c>
      <c r="D226" s="1" t="s">
        <v>13</v>
      </c>
      <c r="E226" s="1" t="s">
        <v>32</v>
      </c>
      <c r="F226" s="1" t="s">
        <v>33</v>
      </c>
      <c r="G226" s="1" t="s">
        <v>34</v>
      </c>
      <c r="H226" s="1">
        <v>9500</v>
      </c>
      <c r="I226" s="1">
        <v>1</v>
      </c>
      <c r="J226" s="1">
        <v>0.15</v>
      </c>
      <c r="K226" s="1">
        <v>8075</v>
      </c>
      <c r="L226" s="1">
        <v>2527.04</v>
      </c>
      <c r="M226" s="8">
        <f t="shared" ca="1" si="6"/>
        <v>46011.04483136574</v>
      </c>
      <c r="N226" s="9" t="str">
        <f t="shared" si="7"/>
        <v>May</v>
      </c>
    </row>
    <row r="227" spans="1:14" x14ac:dyDescent="0.3">
      <c r="A227" s="1">
        <v>1226</v>
      </c>
      <c r="B227" s="2">
        <v>45394</v>
      </c>
      <c r="C227" s="1" t="s">
        <v>22</v>
      </c>
      <c r="D227" s="1" t="s">
        <v>23</v>
      </c>
      <c r="E227" s="1" t="s">
        <v>29</v>
      </c>
      <c r="F227" s="1" t="s">
        <v>33</v>
      </c>
      <c r="G227" s="1" t="s">
        <v>52</v>
      </c>
      <c r="H227" s="1">
        <v>12000</v>
      </c>
      <c r="I227" s="1">
        <v>3</v>
      </c>
      <c r="J227" s="1">
        <v>0.1</v>
      </c>
      <c r="K227" s="1">
        <v>32400</v>
      </c>
      <c r="L227" s="1">
        <v>7212.64</v>
      </c>
      <c r="M227" s="8">
        <f t="shared" ca="1" si="6"/>
        <v>46011.04483136574</v>
      </c>
      <c r="N227" s="9" t="str">
        <f t="shared" si="7"/>
        <v>Apr</v>
      </c>
    </row>
    <row r="228" spans="1:14" x14ac:dyDescent="0.3">
      <c r="A228" s="1">
        <v>1227</v>
      </c>
      <c r="B228" s="2">
        <v>45403</v>
      </c>
      <c r="C228" s="1" t="s">
        <v>41</v>
      </c>
      <c r="D228" s="1" t="s">
        <v>42</v>
      </c>
      <c r="E228" s="1" t="s">
        <v>14</v>
      </c>
      <c r="F228" s="1" t="s">
        <v>15</v>
      </c>
      <c r="G228" s="1" t="s">
        <v>24</v>
      </c>
      <c r="H228" s="1">
        <v>22000</v>
      </c>
      <c r="I228" s="1">
        <v>3</v>
      </c>
      <c r="J228" s="1">
        <v>0.05</v>
      </c>
      <c r="K228" s="1">
        <v>62700</v>
      </c>
      <c r="L228" s="1">
        <v>16961.28</v>
      </c>
      <c r="M228" s="8">
        <f t="shared" ca="1" si="6"/>
        <v>46011.04483136574</v>
      </c>
      <c r="N228" s="9" t="str">
        <f t="shared" si="7"/>
        <v>Apr</v>
      </c>
    </row>
    <row r="229" spans="1:14" x14ac:dyDescent="0.3">
      <c r="A229" s="1">
        <v>1228</v>
      </c>
      <c r="B229" s="2">
        <v>45421</v>
      </c>
      <c r="C229" s="1" t="s">
        <v>46</v>
      </c>
      <c r="D229" s="1" t="s">
        <v>47</v>
      </c>
      <c r="E229" s="1" t="s">
        <v>32</v>
      </c>
      <c r="F229" s="1" t="s">
        <v>20</v>
      </c>
      <c r="G229" s="1" t="s">
        <v>45</v>
      </c>
      <c r="H229" s="1">
        <v>500</v>
      </c>
      <c r="I229" s="1">
        <v>3</v>
      </c>
      <c r="J229" s="1">
        <v>0.15</v>
      </c>
      <c r="K229" s="1">
        <v>1275</v>
      </c>
      <c r="L229" s="1">
        <v>279.92</v>
      </c>
      <c r="M229" s="8">
        <f t="shared" ca="1" si="6"/>
        <v>46011.04483136574</v>
      </c>
      <c r="N229" s="9" t="str">
        <f t="shared" si="7"/>
        <v>May</v>
      </c>
    </row>
    <row r="230" spans="1:14" x14ac:dyDescent="0.3">
      <c r="A230" s="1">
        <v>1229</v>
      </c>
      <c r="B230" s="2">
        <v>45311</v>
      </c>
      <c r="C230" s="1" t="s">
        <v>36</v>
      </c>
      <c r="D230" s="1" t="s">
        <v>37</v>
      </c>
      <c r="E230" s="1" t="s">
        <v>32</v>
      </c>
      <c r="F230" s="1" t="s">
        <v>15</v>
      </c>
      <c r="G230" s="1" t="s">
        <v>44</v>
      </c>
      <c r="H230" s="1">
        <v>18000</v>
      </c>
      <c r="I230" s="1">
        <v>2</v>
      </c>
      <c r="J230" s="1">
        <v>0.1</v>
      </c>
      <c r="K230" s="1">
        <v>32400</v>
      </c>
      <c r="L230" s="1">
        <v>6573.97</v>
      </c>
      <c r="M230" s="8">
        <f t="shared" ca="1" si="6"/>
        <v>46011.04483136574</v>
      </c>
      <c r="N230" s="9" t="str">
        <f t="shared" si="7"/>
        <v>Jan</v>
      </c>
    </row>
    <row r="231" spans="1:14" x14ac:dyDescent="0.3">
      <c r="A231" s="1">
        <v>1230</v>
      </c>
      <c r="B231" s="2">
        <v>45318</v>
      </c>
      <c r="C231" s="1" t="s">
        <v>50</v>
      </c>
      <c r="D231" s="1" t="s">
        <v>51</v>
      </c>
      <c r="E231" s="1" t="s">
        <v>29</v>
      </c>
      <c r="F231" s="1" t="s">
        <v>33</v>
      </c>
      <c r="G231" s="1" t="s">
        <v>52</v>
      </c>
      <c r="H231" s="1">
        <v>12000</v>
      </c>
      <c r="I231" s="1">
        <v>1</v>
      </c>
      <c r="J231" s="1">
        <v>0</v>
      </c>
      <c r="K231" s="1">
        <v>12000</v>
      </c>
      <c r="L231" s="1">
        <v>3822.65</v>
      </c>
      <c r="M231" s="8">
        <f t="shared" ca="1" si="6"/>
        <v>46011.04483136574</v>
      </c>
      <c r="N231" s="9" t="str">
        <f t="shared" si="7"/>
        <v>Jan</v>
      </c>
    </row>
    <row r="232" spans="1:14" x14ac:dyDescent="0.3">
      <c r="A232" s="1">
        <v>1231</v>
      </c>
      <c r="B232" s="2">
        <v>45456</v>
      </c>
      <c r="C232" s="1" t="s">
        <v>17</v>
      </c>
      <c r="D232" s="1" t="s">
        <v>18</v>
      </c>
      <c r="E232" s="1" t="s">
        <v>14</v>
      </c>
      <c r="F232" s="1" t="s">
        <v>33</v>
      </c>
      <c r="G232" s="1" t="s">
        <v>52</v>
      </c>
      <c r="H232" s="1">
        <v>12000</v>
      </c>
      <c r="I232" s="1">
        <v>1</v>
      </c>
      <c r="J232" s="1">
        <v>0.1</v>
      </c>
      <c r="K232" s="1">
        <v>10800</v>
      </c>
      <c r="L232" s="1">
        <v>2875.9</v>
      </c>
      <c r="M232" s="8">
        <f t="shared" ca="1" si="6"/>
        <v>46011.04483136574</v>
      </c>
      <c r="N232" s="9" t="str">
        <f t="shared" si="7"/>
        <v>Jun</v>
      </c>
    </row>
    <row r="233" spans="1:14" x14ac:dyDescent="0.3">
      <c r="A233" s="1">
        <v>1232</v>
      </c>
      <c r="B233" s="2">
        <v>45323</v>
      </c>
      <c r="C233" s="1" t="s">
        <v>46</v>
      </c>
      <c r="D233" s="1" t="s">
        <v>47</v>
      </c>
      <c r="E233" s="1" t="s">
        <v>29</v>
      </c>
      <c r="F233" s="1" t="s">
        <v>15</v>
      </c>
      <c r="G233" s="1" t="s">
        <v>44</v>
      </c>
      <c r="H233" s="1">
        <v>18000</v>
      </c>
      <c r="I233" s="1">
        <v>5</v>
      </c>
      <c r="J233" s="1">
        <v>0.05</v>
      </c>
      <c r="K233" s="1">
        <v>85500</v>
      </c>
      <c r="L233" s="1">
        <v>14241.63</v>
      </c>
      <c r="M233" s="8">
        <f t="shared" ca="1" si="6"/>
        <v>46011.04483136574</v>
      </c>
      <c r="N233" s="9" t="str">
        <f t="shared" si="7"/>
        <v>Feb</v>
      </c>
    </row>
    <row r="234" spans="1:14" x14ac:dyDescent="0.3">
      <c r="A234" s="1">
        <v>1233</v>
      </c>
      <c r="B234" s="2">
        <v>45347</v>
      </c>
      <c r="C234" s="1" t="s">
        <v>12</v>
      </c>
      <c r="D234" s="1" t="s">
        <v>13</v>
      </c>
      <c r="E234" s="1" t="s">
        <v>29</v>
      </c>
      <c r="F234" s="1" t="s">
        <v>20</v>
      </c>
      <c r="G234" s="1" t="s">
        <v>45</v>
      </c>
      <c r="H234" s="1">
        <v>500</v>
      </c>
      <c r="I234" s="1">
        <v>2</v>
      </c>
      <c r="J234" s="1">
        <v>0</v>
      </c>
      <c r="K234" s="1">
        <v>1000</v>
      </c>
      <c r="L234" s="1">
        <v>229.4</v>
      </c>
      <c r="M234" s="8">
        <f t="shared" ca="1" si="6"/>
        <v>46011.04483136574</v>
      </c>
      <c r="N234" s="9" t="str">
        <f t="shared" si="7"/>
        <v>Feb</v>
      </c>
    </row>
    <row r="235" spans="1:14" x14ac:dyDescent="0.3">
      <c r="A235" s="1">
        <v>1234</v>
      </c>
      <c r="B235" s="2">
        <v>45316</v>
      </c>
      <c r="C235" s="1" t="s">
        <v>22</v>
      </c>
      <c r="D235" s="1" t="s">
        <v>23</v>
      </c>
      <c r="E235" s="1" t="s">
        <v>19</v>
      </c>
      <c r="F235" s="1" t="s">
        <v>15</v>
      </c>
      <c r="G235" s="1" t="s">
        <v>44</v>
      </c>
      <c r="H235" s="1">
        <v>18000</v>
      </c>
      <c r="I235" s="1">
        <v>5</v>
      </c>
      <c r="J235" s="1">
        <v>0.05</v>
      </c>
      <c r="K235" s="1">
        <v>85500</v>
      </c>
      <c r="L235" s="1">
        <v>22577.16</v>
      </c>
      <c r="M235" s="8">
        <f t="shared" ca="1" si="6"/>
        <v>46011.04483136574</v>
      </c>
      <c r="N235" s="9" t="str">
        <f t="shared" si="7"/>
        <v>Jan</v>
      </c>
    </row>
    <row r="236" spans="1:14" x14ac:dyDescent="0.3">
      <c r="A236" s="1">
        <v>1235</v>
      </c>
      <c r="B236" s="2">
        <v>45426</v>
      </c>
      <c r="C236" s="1" t="s">
        <v>30</v>
      </c>
      <c r="D236" s="1" t="s">
        <v>31</v>
      </c>
      <c r="E236" s="1" t="s">
        <v>29</v>
      </c>
      <c r="F236" s="1" t="s">
        <v>20</v>
      </c>
      <c r="G236" s="1" t="s">
        <v>38</v>
      </c>
      <c r="H236" s="1">
        <v>350</v>
      </c>
      <c r="I236" s="1">
        <v>5</v>
      </c>
      <c r="J236" s="1">
        <v>0.05</v>
      </c>
      <c r="K236" s="1">
        <v>1662.5</v>
      </c>
      <c r="L236" s="1">
        <v>405.81</v>
      </c>
      <c r="M236" s="8">
        <f t="shared" ca="1" si="6"/>
        <v>46011.04483136574</v>
      </c>
      <c r="N236" s="9" t="str">
        <f t="shared" si="7"/>
        <v>May</v>
      </c>
    </row>
    <row r="237" spans="1:14" x14ac:dyDescent="0.3">
      <c r="A237" s="1">
        <v>1236</v>
      </c>
      <c r="B237" s="2">
        <v>45334</v>
      </c>
      <c r="C237" s="1" t="s">
        <v>50</v>
      </c>
      <c r="D237" s="1" t="s">
        <v>51</v>
      </c>
      <c r="E237" s="1" t="s">
        <v>19</v>
      </c>
      <c r="F237" s="1" t="s">
        <v>15</v>
      </c>
      <c r="G237" s="1" t="s">
        <v>35</v>
      </c>
      <c r="H237" s="1">
        <v>55000</v>
      </c>
      <c r="I237" s="1">
        <v>1</v>
      </c>
      <c r="J237" s="1">
        <v>0.1</v>
      </c>
      <c r="K237" s="1">
        <v>49500</v>
      </c>
      <c r="L237" s="1">
        <v>14867.48</v>
      </c>
      <c r="M237" s="8">
        <f t="shared" ca="1" si="6"/>
        <v>46011.04483136574</v>
      </c>
      <c r="N237" s="9" t="str">
        <f t="shared" si="7"/>
        <v>Feb</v>
      </c>
    </row>
    <row r="238" spans="1:14" x14ac:dyDescent="0.3">
      <c r="A238" s="1">
        <v>1237</v>
      </c>
      <c r="B238" s="2">
        <v>45441</v>
      </c>
      <c r="C238" s="1" t="s">
        <v>41</v>
      </c>
      <c r="D238" s="1" t="s">
        <v>42</v>
      </c>
      <c r="E238" s="1" t="s">
        <v>19</v>
      </c>
      <c r="F238" s="1" t="s">
        <v>33</v>
      </c>
      <c r="G238" s="1" t="s">
        <v>34</v>
      </c>
      <c r="H238" s="1">
        <v>9500</v>
      </c>
      <c r="I238" s="1">
        <v>5</v>
      </c>
      <c r="J238" s="1">
        <v>0.15</v>
      </c>
      <c r="K238" s="1">
        <v>40375</v>
      </c>
      <c r="L238" s="1">
        <v>8416.4599999999991</v>
      </c>
      <c r="M238" s="8">
        <f t="shared" ca="1" si="6"/>
        <v>46011.04483136574</v>
      </c>
      <c r="N238" s="9" t="str">
        <f t="shared" si="7"/>
        <v>May</v>
      </c>
    </row>
    <row r="239" spans="1:14" x14ac:dyDescent="0.3">
      <c r="A239" s="1">
        <v>1238</v>
      </c>
      <c r="B239" s="2">
        <v>45434</v>
      </c>
      <c r="C239" s="1" t="s">
        <v>36</v>
      </c>
      <c r="D239" s="1" t="s">
        <v>37</v>
      </c>
      <c r="E239" s="1" t="s">
        <v>14</v>
      </c>
      <c r="F239" s="1" t="s">
        <v>15</v>
      </c>
      <c r="G239" s="1" t="s">
        <v>24</v>
      </c>
      <c r="H239" s="1">
        <v>22000</v>
      </c>
      <c r="I239" s="1">
        <v>3</v>
      </c>
      <c r="J239" s="1">
        <v>0</v>
      </c>
      <c r="K239" s="1">
        <v>66000</v>
      </c>
      <c r="L239" s="1">
        <v>14332.36</v>
      </c>
      <c r="M239" s="8">
        <f t="shared" ca="1" si="6"/>
        <v>46011.04483136574</v>
      </c>
      <c r="N239" s="9" t="str">
        <f t="shared" si="7"/>
        <v>May</v>
      </c>
    </row>
    <row r="240" spans="1:14" x14ac:dyDescent="0.3">
      <c r="A240" s="1">
        <v>1239</v>
      </c>
      <c r="B240" s="2">
        <v>45355</v>
      </c>
      <c r="C240" s="1" t="s">
        <v>25</v>
      </c>
      <c r="D240" s="1" t="s">
        <v>26</v>
      </c>
      <c r="E240" s="1" t="s">
        <v>19</v>
      </c>
      <c r="F240" s="1" t="s">
        <v>15</v>
      </c>
      <c r="G240" s="1" t="s">
        <v>24</v>
      </c>
      <c r="H240" s="1">
        <v>22000</v>
      </c>
      <c r="I240" s="1">
        <v>1</v>
      </c>
      <c r="J240" s="1">
        <v>0.05</v>
      </c>
      <c r="K240" s="1">
        <v>20900</v>
      </c>
      <c r="L240" s="1">
        <v>5351.17</v>
      </c>
      <c r="M240" s="8">
        <f t="shared" ca="1" si="6"/>
        <v>46011.04483136574</v>
      </c>
      <c r="N240" s="9" t="str">
        <f t="shared" si="7"/>
        <v>Mar</v>
      </c>
    </row>
    <row r="241" spans="1:14" x14ac:dyDescent="0.3">
      <c r="A241" s="1">
        <v>1240</v>
      </c>
      <c r="B241" s="2">
        <v>45323</v>
      </c>
      <c r="C241" s="1" t="s">
        <v>25</v>
      </c>
      <c r="D241" s="1" t="s">
        <v>26</v>
      </c>
      <c r="E241" s="1" t="s">
        <v>19</v>
      </c>
      <c r="F241" s="1" t="s">
        <v>15</v>
      </c>
      <c r="G241" s="1" t="s">
        <v>16</v>
      </c>
      <c r="H241" s="1">
        <v>3000</v>
      </c>
      <c r="I241" s="1">
        <v>5</v>
      </c>
      <c r="J241" s="1">
        <v>0.05</v>
      </c>
      <c r="K241" s="1">
        <v>14250</v>
      </c>
      <c r="L241" s="1">
        <v>3243.86</v>
      </c>
      <c r="M241" s="8">
        <f t="shared" ca="1" si="6"/>
        <v>46011.04483136574</v>
      </c>
      <c r="N241" s="9" t="str">
        <f t="shared" si="7"/>
        <v>Feb</v>
      </c>
    </row>
    <row r="242" spans="1:14" x14ac:dyDescent="0.3">
      <c r="A242" s="1">
        <v>1241</v>
      </c>
      <c r="B242" s="2">
        <v>45390</v>
      </c>
      <c r="C242" s="1" t="s">
        <v>36</v>
      </c>
      <c r="D242" s="1" t="s">
        <v>37</v>
      </c>
      <c r="E242" s="1" t="s">
        <v>19</v>
      </c>
      <c r="F242" s="1" t="s">
        <v>15</v>
      </c>
      <c r="G242" s="1" t="s">
        <v>24</v>
      </c>
      <c r="H242" s="1">
        <v>22000</v>
      </c>
      <c r="I242" s="1">
        <v>3</v>
      </c>
      <c r="J242" s="1">
        <v>0</v>
      </c>
      <c r="K242" s="1">
        <v>66000</v>
      </c>
      <c r="L242" s="1">
        <v>12610.61</v>
      </c>
      <c r="M242" s="8">
        <f t="shared" ca="1" si="6"/>
        <v>46011.04483136574</v>
      </c>
      <c r="N242" s="9" t="str">
        <f t="shared" si="7"/>
        <v>Apr</v>
      </c>
    </row>
    <row r="243" spans="1:14" x14ac:dyDescent="0.3">
      <c r="A243" s="1">
        <v>1242</v>
      </c>
      <c r="B243" s="2">
        <v>45467</v>
      </c>
      <c r="C243" s="1" t="s">
        <v>41</v>
      </c>
      <c r="D243" s="1" t="s">
        <v>42</v>
      </c>
      <c r="E243" s="1" t="s">
        <v>14</v>
      </c>
      <c r="F243" s="1" t="s">
        <v>15</v>
      </c>
      <c r="G243" s="1" t="s">
        <v>16</v>
      </c>
      <c r="H243" s="1">
        <v>3000</v>
      </c>
      <c r="I243" s="1">
        <v>1</v>
      </c>
      <c r="J243" s="1">
        <v>0.05</v>
      </c>
      <c r="K243" s="1">
        <v>2850</v>
      </c>
      <c r="L243" s="1">
        <v>627.55999999999995</v>
      </c>
      <c r="M243" s="8">
        <f t="shared" ca="1" si="6"/>
        <v>46011.04483136574</v>
      </c>
      <c r="N243" s="9" t="str">
        <f t="shared" si="7"/>
        <v>Jun</v>
      </c>
    </row>
    <row r="244" spans="1:14" x14ac:dyDescent="0.3">
      <c r="A244" s="1">
        <v>1243</v>
      </c>
      <c r="B244" s="2">
        <v>45442</v>
      </c>
      <c r="C244" s="1" t="s">
        <v>50</v>
      </c>
      <c r="D244" s="1" t="s">
        <v>51</v>
      </c>
      <c r="E244" s="1" t="s">
        <v>14</v>
      </c>
      <c r="F244" s="1" t="s">
        <v>15</v>
      </c>
      <c r="G244" s="1" t="s">
        <v>16</v>
      </c>
      <c r="H244" s="1">
        <v>3000</v>
      </c>
      <c r="I244" s="1">
        <v>4</v>
      </c>
      <c r="J244" s="1">
        <v>0.05</v>
      </c>
      <c r="K244" s="1">
        <v>11400</v>
      </c>
      <c r="L244" s="1">
        <v>3957.89</v>
      </c>
      <c r="M244" s="8">
        <f t="shared" ca="1" si="6"/>
        <v>46011.04483136574</v>
      </c>
      <c r="N244" s="9" t="str">
        <f t="shared" si="7"/>
        <v>May</v>
      </c>
    </row>
    <row r="245" spans="1:14" x14ac:dyDescent="0.3">
      <c r="A245" s="1">
        <v>1244</v>
      </c>
      <c r="B245" s="2">
        <v>45341</v>
      </c>
      <c r="C245" s="1" t="s">
        <v>39</v>
      </c>
      <c r="D245" s="1" t="s">
        <v>40</v>
      </c>
      <c r="E245" s="1" t="s">
        <v>29</v>
      </c>
      <c r="F245" s="1" t="s">
        <v>33</v>
      </c>
      <c r="G245" s="1" t="s">
        <v>52</v>
      </c>
      <c r="H245" s="1">
        <v>12000</v>
      </c>
      <c r="I245" s="1">
        <v>3</v>
      </c>
      <c r="J245" s="1">
        <v>0.15</v>
      </c>
      <c r="K245" s="1">
        <v>30600</v>
      </c>
      <c r="L245" s="1">
        <v>8755.4</v>
      </c>
      <c r="M245" s="8">
        <f t="shared" ca="1" si="6"/>
        <v>46011.04483136574</v>
      </c>
      <c r="N245" s="9" t="str">
        <f t="shared" si="7"/>
        <v>Feb</v>
      </c>
    </row>
    <row r="246" spans="1:14" x14ac:dyDescent="0.3">
      <c r="A246" s="1">
        <v>1245</v>
      </c>
      <c r="B246" s="2">
        <v>45443</v>
      </c>
      <c r="C246" s="1" t="s">
        <v>25</v>
      </c>
      <c r="D246" s="1" t="s">
        <v>26</v>
      </c>
      <c r="E246" s="1" t="s">
        <v>19</v>
      </c>
      <c r="F246" s="1" t="s">
        <v>20</v>
      </c>
      <c r="G246" s="1" t="s">
        <v>38</v>
      </c>
      <c r="H246" s="1">
        <v>350</v>
      </c>
      <c r="I246" s="1">
        <v>5</v>
      </c>
      <c r="J246" s="1">
        <v>0.15</v>
      </c>
      <c r="K246" s="1">
        <v>1487.5</v>
      </c>
      <c r="L246" s="1">
        <v>407.67</v>
      </c>
      <c r="M246" s="8">
        <f t="shared" ca="1" si="6"/>
        <v>46011.04483136574</v>
      </c>
      <c r="N246" s="9" t="str">
        <f t="shared" si="7"/>
        <v>May</v>
      </c>
    </row>
    <row r="247" spans="1:14" x14ac:dyDescent="0.3">
      <c r="A247" s="1">
        <v>1246</v>
      </c>
      <c r="B247" s="2">
        <v>45335</v>
      </c>
      <c r="C247" s="1" t="s">
        <v>48</v>
      </c>
      <c r="D247" s="1" t="s">
        <v>49</v>
      </c>
      <c r="E247" s="1" t="s">
        <v>19</v>
      </c>
      <c r="F247" s="1" t="s">
        <v>15</v>
      </c>
      <c r="G247" s="1" t="s">
        <v>44</v>
      </c>
      <c r="H247" s="1">
        <v>18000</v>
      </c>
      <c r="I247" s="1">
        <v>2</v>
      </c>
      <c r="J247" s="1">
        <v>0.15</v>
      </c>
      <c r="K247" s="1">
        <v>30600</v>
      </c>
      <c r="L247" s="1">
        <v>7846.72</v>
      </c>
      <c r="M247" s="8">
        <f t="shared" ca="1" si="6"/>
        <v>46011.04483136574</v>
      </c>
      <c r="N247" s="9" t="str">
        <f t="shared" si="7"/>
        <v>Feb</v>
      </c>
    </row>
    <row r="248" spans="1:14" x14ac:dyDescent="0.3">
      <c r="A248" s="1">
        <v>1247</v>
      </c>
      <c r="B248" s="2">
        <v>45415</v>
      </c>
      <c r="C248" s="1" t="s">
        <v>50</v>
      </c>
      <c r="D248" s="1" t="s">
        <v>51</v>
      </c>
      <c r="E248" s="1" t="s">
        <v>32</v>
      </c>
      <c r="F248" s="1" t="s">
        <v>15</v>
      </c>
      <c r="G248" s="1" t="s">
        <v>44</v>
      </c>
      <c r="H248" s="1">
        <v>18000</v>
      </c>
      <c r="I248" s="1">
        <v>4</v>
      </c>
      <c r="J248" s="1">
        <v>0.05</v>
      </c>
      <c r="K248" s="1">
        <v>68400</v>
      </c>
      <c r="L248" s="1">
        <v>16229.32</v>
      </c>
      <c r="M248" s="8">
        <f t="shared" ca="1" si="6"/>
        <v>46011.04483136574</v>
      </c>
      <c r="N248" s="9" t="str">
        <f t="shared" si="7"/>
        <v>May</v>
      </c>
    </row>
    <row r="249" spans="1:14" x14ac:dyDescent="0.3">
      <c r="A249" s="1">
        <v>1248</v>
      </c>
      <c r="B249" s="2">
        <v>45373</v>
      </c>
      <c r="C249" s="1" t="s">
        <v>27</v>
      </c>
      <c r="D249" s="1" t="s">
        <v>28</v>
      </c>
      <c r="E249" s="1" t="s">
        <v>32</v>
      </c>
      <c r="F249" s="1" t="s">
        <v>15</v>
      </c>
      <c r="G249" s="1" t="s">
        <v>35</v>
      </c>
      <c r="H249" s="1">
        <v>55000</v>
      </c>
      <c r="I249" s="1">
        <v>1</v>
      </c>
      <c r="J249" s="1">
        <v>0.05</v>
      </c>
      <c r="K249" s="1">
        <v>52250</v>
      </c>
      <c r="L249" s="1">
        <v>17435.759999999998</v>
      </c>
      <c r="M249" s="8">
        <f t="shared" ca="1" si="6"/>
        <v>46011.04483136574</v>
      </c>
      <c r="N249" s="9" t="str">
        <f t="shared" si="7"/>
        <v>Mar</v>
      </c>
    </row>
    <row r="250" spans="1:14" x14ac:dyDescent="0.3">
      <c r="A250" s="1">
        <v>1249</v>
      </c>
      <c r="B250" s="2">
        <v>45349</v>
      </c>
      <c r="C250" s="1" t="s">
        <v>22</v>
      </c>
      <c r="D250" s="1" t="s">
        <v>23</v>
      </c>
      <c r="E250" s="1" t="s">
        <v>19</v>
      </c>
      <c r="F250" s="1" t="s">
        <v>15</v>
      </c>
      <c r="G250" s="1" t="s">
        <v>35</v>
      </c>
      <c r="H250" s="1">
        <v>55000</v>
      </c>
      <c r="I250" s="1">
        <v>4</v>
      </c>
      <c r="J250" s="1">
        <v>0.05</v>
      </c>
      <c r="K250" s="1">
        <v>209000</v>
      </c>
      <c r="L250" s="1">
        <v>38296.47</v>
      </c>
      <c r="M250" s="8">
        <f t="shared" ca="1" si="6"/>
        <v>46011.04483136574</v>
      </c>
      <c r="N250" s="9" t="str">
        <f t="shared" si="7"/>
        <v>Feb</v>
      </c>
    </row>
    <row r="251" spans="1:14" x14ac:dyDescent="0.3">
      <c r="A251" s="1">
        <v>1250</v>
      </c>
      <c r="B251" s="2">
        <v>45311</v>
      </c>
      <c r="C251" s="1" t="s">
        <v>27</v>
      </c>
      <c r="D251" s="1" t="s">
        <v>28</v>
      </c>
      <c r="E251" s="1" t="s">
        <v>14</v>
      </c>
      <c r="F251" s="1" t="s">
        <v>15</v>
      </c>
      <c r="G251" s="1" t="s">
        <v>24</v>
      </c>
      <c r="H251" s="1">
        <v>22000</v>
      </c>
      <c r="I251" s="1">
        <v>4</v>
      </c>
      <c r="J251" s="1">
        <v>0</v>
      </c>
      <c r="K251" s="1">
        <v>88000</v>
      </c>
      <c r="L251" s="1">
        <v>16500.2</v>
      </c>
      <c r="M251" s="8">
        <f t="shared" ca="1" si="6"/>
        <v>46011.04483136574</v>
      </c>
      <c r="N251" s="9" t="str">
        <f t="shared" si="7"/>
        <v>Jan</v>
      </c>
    </row>
    <row r="252" spans="1:14" x14ac:dyDescent="0.3">
      <c r="A252" s="1">
        <v>1251</v>
      </c>
      <c r="B252" s="2">
        <v>45396</v>
      </c>
      <c r="C252" s="1" t="s">
        <v>12</v>
      </c>
      <c r="D252" s="1" t="s">
        <v>13</v>
      </c>
      <c r="E252" s="1" t="s">
        <v>14</v>
      </c>
      <c r="F252" s="1" t="s">
        <v>20</v>
      </c>
      <c r="G252" s="1" t="s">
        <v>45</v>
      </c>
      <c r="H252" s="1">
        <v>500</v>
      </c>
      <c r="I252" s="1">
        <v>3</v>
      </c>
      <c r="J252" s="1">
        <v>0</v>
      </c>
      <c r="K252" s="1">
        <v>1500</v>
      </c>
      <c r="L252" s="1">
        <v>331.28</v>
      </c>
      <c r="M252" s="8">
        <f t="shared" ca="1" si="6"/>
        <v>46011.04483136574</v>
      </c>
      <c r="N252" s="9" t="str">
        <f t="shared" si="7"/>
        <v>Apr</v>
      </c>
    </row>
    <row r="253" spans="1:14" x14ac:dyDescent="0.3">
      <c r="A253" s="1">
        <v>1252</v>
      </c>
      <c r="B253" s="2">
        <v>45388</v>
      </c>
      <c r="C253" s="1" t="s">
        <v>22</v>
      </c>
      <c r="D253" s="1" t="s">
        <v>23</v>
      </c>
      <c r="E253" s="1" t="s">
        <v>29</v>
      </c>
      <c r="F253" s="1" t="s">
        <v>20</v>
      </c>
      <c r="G253" s="1" t="s">
        <v>21</v>
      </c>
      <c r="H253" s="1">
        <v>200</v>
      </c>
      <c r="I253" s="1">
        <v>5</v>
      </c>
      <c r="J253" s="1">
        <v>0.1</v>
      </c>
      <c r="K253" s="1">
        <v>900</v>
      </c>
      <c r="L253" s="1">
        <v>183.11</v>
      </c>
      <c r="M253" s="8">
        <f t="shared" ca="1" si="6"/>
        <v>46011.04483136574</v>
      </c>
      <c r="N253" s="9" t="str">
        <f t="shared" si="7"/>
        <v>Apr</v>
      </c>
    </row>
    <row r="254" spans="1:14" x14ac:dyDescent="0.3">
      <c r="A254" s="1">
        <v>1253</v>
      </c>
      <c r="B254" s="2">
        <v>45302</v>
      </c>
      <c r="C254" s="1" t="s">
        <v>46</v>
      </c>
      <c r="D254" s="1" t="s">
        <v>47</v>
      </c>
      <c r="E254" s="1" t="s">
        <v>19</v>
      </c>
      <c r="F254" s="1" t="s">
        <v>33</v>
      </c>
      <c r="G254" s="1" t="s">
        <v>52</v>
      </c>
      <c r="H254" s="1">
        <v>12000</v>
      </c>
      <c r="I254" s="1">
        <v>5</v>
      </c>
      <c r="J254" s="1">
        <v>0.05</v>
      </c>
      <c r="K254" s="1">
        <v>57000</v>
      </c>
      <c r="L254" s="1">
        <v>15707.32</v>
      </c>
      <c r="M254" s="8">
        <f t="shared" ca="1" si="6"/>
        <v>46011.04483136574</v>
      </c>
      <c r="N254" s="9" t="str">
        <f t="shared" si="7"/>
        <v>Jan</v>
      </c>
    </row>
    <row r="255" spans="1:14" x14ac:dyDescent="0.3">
      <c r="A255" s="1">
        <v>1254</v>
      </c>
      <c r="B255" s="2">
        <v>45362</v>
      </c>
      <c r="C255" s="1" t="s">
        <v>27</v>
      </c>
      <c r="D255" s="1" t="s">
        <v>28</v>
      </c>
      <c r="E255" s="1" t="s">
        <v>29</v>
      </c>
      <c r="F255" s="1" t="s">
        <v>33</v>
      </c>
      <c r="G255" s="1" t="s">
        <v>43</v>
      </c>
      <c r="H255" s="1">
        <v>7500</v>
      </c>
      <c r="I255" s="1">
        <v>3</v>
      </c>
      <c r="J255" s="1">
        <v>0.05</v>
      </c>
      <c r="K255" s="1">
        <v>21375</v>
      </c>
      <c r="L255" s="1">
        <v>3466.81</v>
      </c>
      <c r="M255" s="8">
        <f t="shared" ca="1" si="6"/>
        <v>46011.04483136574</v>
      </c>
      <c r="N255" s="9" t="str">
        <f t="shared" si="7"/>
        <v>Mar</v>
      </c>
    </row>
    <row r="256" spans="1:14" x14ac:dyDescent="0.3">
      <c r="A256" s="1">
        <v>1255</v>
      </c>
      <c r="B256" s="2">
        <v>45468</v>
      </c>
      <c r="C256" s="1" t="s">
        <v>22</v>
      </c>
      <c r="D256" s="1" t="s">
        <v>23</v>
      </c>
      <c r="E256" s="1" t="s">
        <v>32</v>
      </c>
      <c r="F256" s="1" t="s">
        <v>15</v>
      </c>
      <c r="G256" s="1" t="s">
        <v>24</v>
      </c>
      <c r="H256" s="1">
        <v>22000</v>
      </c>
      <c r="I256" s="1">
        <v>2</v>
      </c>
      <c r="J256" s="1">
        <v>0.15</v>
      </c>
      <c r="K256" s="1">
        <v>37400</v>
      </c>
      <c r="L256" s="1">
        <v>12501.19</v>
      </c>
      <c r="M256" s="8">
        <f t="shared" ca="1" si="6"/>
        <v>46011.04483136574</v>
      </c>
      <c r="N256" s="9" t="str">
        <f t="shared" si="7"/>
        <v>Jun</v>
      </c>
    </row>
    <row r="257" spans="1:14" x14ac:dyDescent="0.3">
      <c r="A257" s="1">
        <v>1256</v>
      </c>
      <c r="B257" s="2">
        <v>45318</v>
      </c>
      <c r="C257" s="1" t="s">
        <v>30</v>
      </c>
      <c r="D257" s="1" t="s">
        <v>31</v>
      </c>
      <c r="E257" s="1" t="s">
        <v>32</v>
      </c>
      <c r="F257" s="1" t="s">
        <v>15</v>
      </c>
      <c r="G257" s="1" t="s">
        <v>24</v>
      </c>
      <c r="H257" s="1">
        <v>22000</v>
      </c>
      <c r="I257" s="1">
        <v>1</v>
      </c>
      <c r="J257" s="1">
        <v>0.15</v>
      </c>
      <c r="K257" s="1">
        <v>18700</v>
      </c>
      <c r="L257" s="1">
        <v>6005.17</v>
      </c>
      <c r="M257" s="8">
        <f t="shared" ca="1" si="6"/>
        <v>46011.04483136574</v>
      </c>
      <c r="N257" s="9" t="str">
        <f t="shared" si="7"/>
        <v>Jan</v>
      </c>
    </row>
    <row r="258" spans="1:14" x14ac:dyDescent="0.3">
      <c r="A258" s="1">
        <v>1257</v>
      </c>
      <c r="B258" s="2">
        <v>45470</v>
      </c>
      <c r="C258" s="1" t="s">
        <v>22</v>
      </c>
      <c r="D258" s="1" t="s">
        <v>23</v>
      </c>
      <c r="E258" s="1" t="s">
        <v>32</v>
      </c>
      <c r="F258" s="1" t="s">
        <v>20</v>
      </c>
      <c r="G258" s="1" t="s">
        <v>45</v>
      </c>
      <c r="H258" s="1">
        <v>500</v>
      </c>
      <c r="I258" s="1">
        <v>3</v>
      </c>
      <c r="J258" s="1">
        <v>0.1</v>
      </c>
      <c r="K258" s="1">
        <v>1350</v>
      </c>
      <c r="L258" s="1">
        <v>211.56</v>
      </c>
      <c r="M258" s="8">
        <f t="shared" ca="1" si="6"/>
        <v>46011.04483136574</v>
      </c>
      <c r="N258" s="9" t="str">
        <f t="shared" si="7"/>
        <v>Jun</v>
      </c>
    </row>
    <row r="259" spans="1:14" x14ac:dyDescent="0.3">
      <c r="A259" s="1">
        <v>1258</v>
      </c>
      <c r="B259" s="2">
        <v>45315</v>
      </c>
      <c r="C259" s="1" t="s">
        <v>25</v>
      </c>
      <c r="D259" s="1" t="s">
        <v>26</v>
      </c>
      <c r="E259" s="1" t="s">
        <v>32</v>
      </c>
      <c r="F259" s="1" t="s">
        <v>33</v>
      </c>
      <c r="G259" s="1" t="s">
        <v>34</v>
      </c>
      <c r="H259" s="1">
        <v>9500</v>
      </c>
      <c r="I259" s="1">
        <v>4</v>
      </c>
      <c r="J259" s="1">
        <v>0.05</v>
      </c>
      <c r="K259" s="1">
        <v>36100</v>
      </c>
      <c r="L259" s="1">
        <v>6128.28</v>
      </c>
      <c r="M259" s="8">
        <f t="shared" ref="M259:M322" ca="1" si="8">NOW()</f>
        <v>46011.04483136574</v>
      </c>
      <c r="N259" s="9" t="str">
        <f t="shared" ref="N259:N322" si="9">TEXT(B259,"mmm")</f>
        <v>Jan</v>
      </c>
    </row>
    <row r="260" spans="1:14" x14ac:dyDescent="0.3">
      <c r="A260" s="1">
        <v>1259</v>
      </c>
      <c r="B260" s="2">
        <v>45293</v>
      </c>
      <c r="C260" s="1" t="s">
        <v>39</v>
      </c>
      <c r="D260" s="1" t="s">
        <v>40</v>
      </c>
      <c r="E260" s="1" t="s">
        <v>32</v>
      </c>
      <c r="F260" s="1" t="s">
        <v>33</v>
      </c>
      <c r="G260" s="1" t="s">
        <v>34</v>
      </c>
      <c r="H260" s="1">
        <v>9500</v>
      </c>
      <c r="I260" s="1">
        <v>2</v>
      </c>
      <c r="J260" s="1">
        <v>0.05</v>
      </c>
      <c r="K260" s="1">
        <v>18050</v>
      </c>
      <c r="L260" s="1">
        <v>2935.88</v>
      </c>
      <c r="M260" s="8">
        <f t="shared" ca="1" si="8"/>
        <v>46011.04483136574</v>
      </c>
      <c r="N260" s="9" t="str">
        <f t="shared" si="9"/>
        <v>Jan</v>
      </c>
    </row>
    <row r="261" spans="1:14" x14ac:dyDescent="0.3">
      <c r="A261" s="1">
        <v>1260</v>
      </c>
      <c r="B261" s="2">
        <v>45361</v>
      </c>
      <c r="C261" s="1" t="s">
        <v>48</v>
      </c>
      <c r="D261" s="1" t="s">
        <v>49</v>
      </c>
      <c r="E261" s="1" t="s">
        <v>14</v>
      </c>
      <c r="F261" s="1" t="s">
        <v>33</v>
      </c>
      <c r="G261" s="1" t="s">
        <v>34</v>
      </c>
      <c r="H261" s="1">
        <v>9500</v>
      </c>
      <c r="I261" s="1">
        <v>4</v>
      </c>
      <c r="J261" s="1">
        <v>0</v>
      </c>
      <c r="K261" s="1">
        <v>38000</v>
      </c>
      <c r="L261" s="1">
        <v>8794.1299999999992</v>
      </c>
      <c r="M261" s="8">
        <f t="shared" ca="1" si="8"/>
        <v>46011.04483136574</v>
      </c>
      <c r="N261" s="9" t="str">
        <f t="shared" si="9"/>
        <v>Mar</v>
      </c>
    </row>
    <row r="262" spans="1:14" x14ac:dyDescent="0.3">
      <c r="A262" s="1">
        <v>1261</v>
      </c>
      <c r="B262" s="2">
        <v>45293</v>
      </c>
      <c r="C262" s="1" t="s">
        <v>27</v>
      </c>
      <c r="D262" s="1" t="s">
        <v>28</v>
      </c>
      <c r="E262" s="1" t="s">
        <v>32</v>
      </c>
      <c r="F262" s="1" t="s">
        <v>20</v>
      </c>
      <c r="G262" s="1" t="s">
        <v>45</v>
      </c>
      <c r="H262" s="1">
        <v>500</v>
      </c>
      <c r="I262" s="1">
        <v>3</v>
      </c>
      <c r="J262" s="1">
        <v>0.1</v>
      </c>
      <c r="K262" s="1">
        <v>1350</v>
      </c>
      <c r="L262" s="1">
        <v>424.53</v>
      </c>
      <c r="M262" s="8">
        <f t="shared" ca="1" si="8"/>
        <v>46011.04483136574</v>
      </c>
      <c r="N262" s="9" t="str">
        <f t="shared" si="9"/>
        <v>Jan</v>
      </c>
    </row>
    <row r="263" spans="1:14" x14ac:dyDescent="0.3">
      <c r="A263" s="1">
        <v>1262</v>
      </c>
      <c r="B263" s="2">
        <v>45380</v>
      </c>
      <c r="C263" s="1" t="s">
        <v>41</v>
      </c>
      <c r="D263" s="1" t="s">
        <v>42</v>
      </c>
      <c r="E263" s="1" t="s">
        <v>29</v>
      </c>
      <c r="F263" s="1" t="s">
        <v>15</v>
      </c>
      <c r="G263" s="1" t="s">
        <v>35</v>
      </c>
      <c r="H263" s="1">
        <v>55000</v>
      </c>
      <c r="I263" s="1">
        <v>1</v>
      </c>
      <c r="J263" s="1">
        <v>0.05</v>
      </c>
      <c r="K263" s="1">
        <v>52250</v>
      </c>
      <c r="L263" s="1">
        <v>14430.48</v>
      </c>
      <c r="M263" s="8">
        <f t="shared" ca="1" si="8"/>
        <v>46011.04483136574</v>
      </c>
      <c r="N263" s="9" t="str">
        <f t="shared" si="9"/>
        <v>Mar</v>
      </c>
    </row>
    <row r="264" spans="1:14" x14ac:dyDescent="0.3">
      <c r="A264" s="1">
        <v>1263</v>
      </c>
      <c r="B264" s="2">
        <v>45354</v>
      </c>
      <c r="C264" s="1" t="s">
        <v>17</v>
      </c>
      <c r="D264" s="1" t="s">
        <v>18</v>
      </c>
      <c r="E264" s="1" t="s">
        <v>29</v>
      </c>
      <c r="F264" s="1" t="s">
        <v>15</v>
      </c>
      <c r="G264" s="1" t="s">
        <v>44</v>
      </c>
      <c r="H264" s="1">
        <v>18000</v>
      </c>
      <c r="I264" s="1">
        <v>3</v>
      </c>
      <c r="J264" s="1">
        <v>0</v>
      </c>
      <c r="K264" s="1">
        <v>54000</v>
      </c>
      <c r="L264" s="1">
        <v>10788.55</v>
      </c>
      <c r="M264" s="8">
        <f t="shared" ca="1" si="8"/>
        <v>46011.04483136574</v>
      </c>
      <c r="N264" s="9" t="str">
        <f t="shared" si="9"/>
        <v>Mar</v>
      </c>
    </row>
    <row r="265" spans="1:14" x14ac:dyDescent="0.3">
      <c r="A265" s="1">
        <v>1264</v>
      </c>
      <c r="B265" s="2">
        <v>45460</v>
      </c>
      <c r="C265" s="1" t="s">
        <v>27</v>
      </c>
      <c r="D265" s="1" t="s">
        <v>28</v>
      </c>
      <c r="E265" s="1" t="s">
        <v>32</v>
      </c>
      <c r="F265" s="1" t="s">
        <v>20</v>
      </c>
      <c r="G265" s="1" t="s">
        <v>38</v>
      </c>
      <c r="H265" s="1">
        <v>350</v>
      </c>
      <c r="I265" s="1">
        <v>3</v>
      </c>
      <c r="J265" s="1">
        <v>0.15</v>
      </c>
      <c r="K265" s="1">
        <v>892.5</v>
      </c>
      <c r="L265" s="1">
        <v>156.54</v>
      </c>
      <c r="M265" s="8">
        <f t="shared" ca="1" si="8"/>
        <v>46011.04483136574</v>
      </c>
      <c r="N265" s="9" t="str">
        <f t="shared" si="9"/>
        <v>Jun</v>
      </c>
    </row>
    <row r="266" spans="1:14" x14ac:dyDescent="0.3">
      <c r="A266" s="1">
        <v>1265</v>
      </c>
      <c r="B266" s="2">
        <v>45452</v>
      </c>
      <c r="C266" s="1" t="s">
        <v>39</v>
      </c>
      <c r="D266" s="1" t="s">
        <v>40</v>
      </c>
      <c r="E266" s="1" t="s">
        <v>32</v>
      </c>
      <c r="F266" s="1" t="s">
        <v>33</v>
      </c>
      <c r="G266" s="1" t="s">
        <v>43</v>
      </c>
      <c r="H266" s="1">
        <v>7500</v>
      </c>
      <c r="I266" s="1">
        <v>3</v>
      </c>
      <c r="J266" s="1">
        <v>0</v>
      </c>
      <c r="K266" s="1">
        <v>22500</v>
      </c>
      <c r="L266" s="1">
        <v>6734.32</v>
      </c>
      <c r="M266" s="8">
        <f t="shared" ca="1" si="8"/>
        <v>46011.04483136574</v>
      </c>
      <c r="N266" s="9" t="str">
        <f t="shared" si="9"/>
        <v>Jun</v>
      </c>
    </row>
    <row r="267" spans="1:14" x14ac:dyDescent="0.3">
      <c r="A267" s="1">
        <v>1266</v>
      </c>
      <c r="B267" s="2">
        <v>45444</v>
      </c>
      <c r="C267" s="1" t="s">
        <v>25</v>
      </c>
      <c r="D267" s="1" t="s">
        <v>26</v>
      </c>
      <c r="E267" s="1" t="s">
        <v>19</v>
      </c>
      <c r="F267" s="1" t="s">
        <v>33</v>
      </c>
      <c r="G267" s="1" t="s">
        <v>43</v>
      </c>
      <c r="H267" s="1">
        <v>7500</v>
      </c>
      <c r="I267" s="1">
        <v>5</v>
      </c>
      <c r="J267" s="1">
        <v>0.1</v>
      </c>
      <c r="K267" s="1">
        <v>33750</v>
      </c>
      <c r="L267" s="1">
        <v>9054.07</v>
      </c>
      <c r="M267" s="8">
        <f t="shared" ca="1" si="8"/>
        <v>46011.04483136574</v>
      </c>
      <c r="N267" s="9" t="str">
        <f t="shared" si="9"/>
        <v>Jun</v>
      </c>
    </row>
    <row r="268" spans="1:14" x14ac:dyDescent="0.3">
      <c r="A268" s="1">
        <v>1267</v>
      </c>
      <c r="B268" s="2">
        <v>45370</v>
      </c>
      <c r="C268" s="1" t="s">
        <v>17</v>
      </c>
      <c r="D268" s="1" t="s">
        <v>18</v>
      </c>
      <c r="E268" s="1" t="s">
        <v>29</v>
      </c>
      <c r="F268" s="1" t="s">
        <v>33</v>
      </c>
      <c r="G268" s="1" t="s">
        <v>52</v>
      </c>
      <c r="H268" s="1">
        <v>12000</v>
      </c>
      <c r="I268" s="1">
        <v>2</v>
      </c>
      <c r="J268" s="1">
        <v>0.1</v>
      </c>
      <c r="K268" s="1">
        <v>21600</v>
      </c>
      <c r="L268" s="1">
        <v>3389.86</v>
      </c>
      <c r="M268" s="8">
        <f t="shared" ca="1" si="8"/>
        <v>46011.04483136574</v>
      </c>
      <c r="N268" s="9" t="str">
        <f t="shared" si="9"/>
        <v>Mar</v>
      </c>
    </row>
    <row r="269" spans="1:14" x14ac:dyDescent="0.3">
      <c r="A269" s="1">
        <v>1268</v>
      </c>
      <c r="B269" s="2">
        <v>45402</v>
      </c>
      <c r="C269" s="1" t="s">
        <v>30</v>
      </c>
      <c r="D269" s="1" t="s">
        <v>31</v>
      </c>
      <c r="E269" s="1" t="s">
        <v>32</v>
      </c>
      <c r="F269" s="1" t="s">
        <v>20</v>
      </c>
      <c r="G269" s="1" t="s">
        <v>21</v>
      </c>
      <c r="H269" s="1">
        <v>200</v>
      </c>
      <c r="I269" s="1">
        <v>2</v>
      </c>
      <c r="J269" s="1">
        <v>0.15</v>
      </c>
      <c r="K269" s="1">
        <v>340</v>
      </c>
      <c r="L269" s="1">
        <v>93.02</v>
      </c>
      <c r="M269" s="8">
        <f t="shared" ca="1" si="8"/>
        <v>46011.04483136574</v>
      </c>
      <c r="N269" s="9" t="str">
        <f t="shared" si="9"/>
        <v>Apr</v>
      </c>
    </row>
    <row r="270" spans="1:14" x14ac:dyDescent="0.3">
      <c r="A270" s="1">
        <v>1269</v>
      </c>
      <c r="B270" s="2">
        <v>45397</v>
      </c>
      <c r="C270" s="1" t="s">
        <v>50</v>
      </c>
      <c r="D270" s="1" t="s">
        <v>51</v>
      </c>
      <c r="E270" s="1" t="s">
        <v>14</v>
      </c>
      <c r="F270" s="1" t="s">
        <v>15</v>
      </c>
      <c r="G270" s="1" t="s">
        <v>35</v>
      </c>
      <c r="H270" s="1">
        <v>55000</v>
      </c>
      <c r="I270" s="1">
        <v>3</v>
      </c>
      <c r="J270" s="1">
        <v>0.05</v>
      </c>
      <c r="K270" s="1">
        <v>156750</v>
      </c>
      <c r="L270" s="1">
        <v>44431.09</v>
      </c>
      <c r="M270" s="8">
        <f t="shared" ca="1" si="8"/>
        <v>46011.04483136574</v>
      </c>
      <c r="N270" s="9" t="str">
        <f t="shared" si="9"/>
        <v>Apr</v>
      </c>
    </row>
    <row r="271" spans="1:14" x14ac:dyDescent="0.3">
      <c r="A271" s="1">
        <v>1270</v>
      </c>
      <c r="B271" s="2">
        <v>45460</v>
      </c>
      <c r="C271" s="1" t="s">
        <v>17</v>
      </c>
      <c r="D271" s="1" t="s">
        <v>18</v>
      </c>
      <c r="E271" s="1" t="s">
        <v>29</v>
      </c>
      <c r="F271" s="1" t="s">
        <v>33</v>
      </c>
      <c r="G271" s="1" t="s">
        <v>34</v>
      </c>
      <c r="H271" s="1">
        <v>9500</v>
      </c>
      <c r="I271" s="1">
        <v>2</v>
      </c>
      <c r="J271" s="1">
        <v>0.05</v>
      </c>
      <c r="K271" s="1">
        <v>18050</v>
      </c>
      <c r="L271" s="1">
        <v>5347.59</v>
      </c>
      <c r="M271" s="8">
        <f t="shared" ca="1" si="8"/>
        <v>46011.04483136574</v>
      </c>
      <c r="N271" s="9" t="str">
        <f t="shared" si="9"/>
        <v>Jun</v>
      </c>
    </row>
    <row r="272" spans="1:14" x14ac:dyDescent="0.3">
      <c r="A272" s="1">
        <v>1271</v>
      </c>
      <c r="B272" s="2">
        <v>45308</v>
      </c>
      <c r="C272" s="1" t="s">
        <v>36</v>
      </c>
      <c r="D272" s="1" t="s">
        <v>37</v>
      </c>
      <c r="E272" s="1" t="s">
        <v>19</v>
      </c>
      <c r="F272" s="1" t="s">
        <v>33</v>
      </c>
      <c r="G272" s="1" t="s">
        <v>43</v>
      </c>
      <c r="H272" s="1">
        <v>7500</v>
      </c>
      <c r="I272" s="1">
        <v>2</v>
      </c>
      <c r="J272" s="1">
        <v>0.1</v>
      </c>
      <c r="K272" s="1">
        <v>13500</v>
      </c>
      <c r="L272" s="1">
        <v>2530.52</v>
      </c>
      <c r="M272" s="8">
        <f t="shared" ca="1" si="8"/>
        <v>46011.04483136574</v>
      </c>
      <c r="N272" s="9" t="str">
        <f t="shared" si="9"/>
        <v>Jan</v>
      </c>
    </row>
    <row r="273" spans="1:14" x14ac:dyDescent="0.3">
      <c r="A273" s="1">
        <v>1272</v>
      </c>
      <c r="B273" s="2">
        <v>45443</v>
      </c>
      <c r="C273" s="1" t="s">
        <v>30</v>
      </c>
      <c r="D273" s="1" t="s">
        <v>31</v>
      </c>
      <c r="E273" s="1" t="s">
        <v>14</v>
      </c>
      <c r="F273" s="1" t="s">
        <v>33</v>
      </c>
      <c r="G273" s="1" t="s">
        <v>34</v>
      </c>
      <c r="H273" s="1">
        <v>9500</v>
      </c>
      <c r="I273" s="1">
        <v>3</v>
      </c>
      <c r="J273" s="1">
        <v>0.1</v>
      </c>
      <c r="K273" s="1">
        <v>25650</v>
      </c>
      <c r="L273" s="1">
        <v>4281.93</v>
      </c>
      <c r="M273" s="8">
        <f t="shared" ca="1" si="8"/>
        <v>46011.04483136574</v>
      </c>
      <c r="N273" s="9" t="str">
        <f t="shared" si="9"/>
        <v>May</v>
      </c>
    </row>
    <row r="274" spans="1:14" x14ac:dyDescent="0.3">
      <c r="A274" s="1">
        <v>1273</v>
      </c>
      <c r="B274" s="2">
        <v>45462</v>
      </c>
      <c r="C274" s="1" t="s">
        <v>30</v>
      </c>
      <c r="D274" s="1" t="s">
        <v>31</v>
      </c>
      <c r="E274" s="1" t="s">
        <v>14</v>
      </c>
      <c r="F274" s="1" t="s">
        <v>20</v>
      </c>
      <c r="G274" s="1" t="s">
        <v>38</v>
      </c>
      <c r="H274" s="1">
        <v>350</v>
      </c>
      <c r="I274" s="1">
        <v>1</v>
      </c>
      <c r="J274" s="1">
        <v>0.1</v>
      </c>
      <c r="K274" s="1">
        <v>315</v>
      </c>
      <c r="L274" s="1">
        <v>78.680000000000007</v>
      </c>
      <c r="M274" s="8">
        <f t="shared" ca="1" si="8"/>
        <v>46011.04483136574</v>
      </c>
      <c r="N274" s="9" t="str">
        <f t="shared" si="9"/>
        <v>Jun</v>
      </c>
    </row>
    <row r="275" spans="1:14" x14ac:dyDescent="0.3">
      <c r="A275" s="1">
        <v>1274</v>
      </c>
      <c r="B275" s="2">
        <v>45424</v>
      </c>
      <c r="C275" s="1" t="s">
        <v>25</v>
      </c>
      <c r="D275" s="1" t="s">
        <v>26</v>
      </c>
      <c r="E275" s="1" t="s">
        <v>14</v>
      </c>
      <c r="F275" s="1" t="s">
        <v>15</v>
      </c>
      <c r="G275" s="1" t="s">
        <v>44</v>
      </c>
      <c r="H275" s="1">
        <v>18000</v>
      </c>
      <c r="I275" s="1">
        <v>2</v>
      </c>
      <c r="J275" s="1">
        <v>0.1</v>
      </c>
      <c r="K275" s="1">
        <v>32400</v>
      </c>
      <c r="L275" s="1">
        <v>7482.6</v>
      </c>
      <c r="M275" s="8">
        <f t="shared" ca="1" si="8"/>
        <v>46011.04483136574</v>
      </c>
      <c r="N275" s="9" t="str">
        <f t="shared" si="9"/>
        <v>May</v>
      </c>
    </row>
    <row r="276" spans="1:14" x14ac:dyDescent="0.3">
      <c r="A276" s="1">
        <v>1275</v>
      </c>
      <c r="B276" s="2">
        <v>45331</v>
      </c>
      <c r="C276" s="1" t="s">
        <v>50</v>
      </c>
      <c r="D276" s="1" t="s">
        <v>51</v>
      </c>
      <c r="E276" s="1" t="s">
        <v>29</v>
      </c>
      <c r="F276" s="1" t="s">
        <v>15</v>
      </c>
      <c r="G276" s="1" t="s">
        <v>35</v>
      </c>
      <c r="H276" s="1">
        <v>55000</v>
      </c>
      <c r="I276" s="1">
        <v>5</v>
      </c>
      <c r="J276" s="1">
        <v>0.15</v>
      </c>
      <c r="K276" s="1">
        <v>233750</v>
      </c>
      <c r="L276" s="1">
        <v>35148.239999999998</v>
      </c>
      <c r="M276" s="8">
        <f t="shared" ca="1" si="8"/>
        <v>46011.04483136574</v>
      </c>
      <c r="N276" s="9" t="str">
        <f t="shared" si="9"/>
        <v>Feb</v>
      </c>
    </row>
    <row r="277" spans="1:14" x14ac:dyDescent="0.3">
      <c r="A277" s="1">
        <v>1276</v>
      </c>
      <c r="B277" s="2">
        <v>45457</v>
      </c>
      <c r="C277" s="1" t="s">
        <v>25</v>
      </c>
      <c r="D277" s="1" t="s">
        <v>26</v>
      </c>
      <c r="E277" s="1" t="s">
        <v>32</v>
      </c>
      <c r="F277" s="1" t="s">
        <v>15</v>
      </c>
      <c r="G277" s="1" t="s">
        <v>24</v>
      </c>
      <c r="H277" s="1">
        <v>22000</v>
      </c>
      <c r="I277" s="1">
        <v>1</v>
      </c>
      <c r="J277" s="1">
        <v>0.1</v>
      </c>
      <c r="K277" s="1">
        <v>19800</v>
      </c>
      <c r="L277" s="1">
        <v>4337.67</v>
      </c>
      <c r="M277" s="8">
        <f t="shared" ca="1" si="8"/>
        <v>46011.04483136574</v>
      </c>
      <c r="N277" s="9" t="str">
        <f t="shared" si="9"/>
        <v>Jun</v>
      </c>
    </row>
    <row r="278" spans="1:14" x14ac:dyDescent="0.3">
      <c r="A278" s="1">
        <v>1277</v>
      </c>
      <c r="B278" s="2">
        <v>45326</v>
      </c>
      <c r="C278" s="1" t="s">
        <v>27</v>
      </c>
      <c r="D278" s="1" t="s">
        <v>28</v>
      </c>
      <c r="E278" s="1" t="s">
        <v>29</v>
      </c>
      <c r="F278" s="1" t="s">
        <v>20</v>
      </c>
      <c r="G278" s="1" t="s">
        <v>38</v>
      </c>
      <c r="H278" s="1">
        <v>350</v>
      </c>
      <c r="I278" s="1">
        <v>5</v>
      </c>
      <c r="J278" s="1">
        <v>0</v>
      </c>
      <c r="K278" s="1">
        <v>1750</v>
      </c>
      <c r="L278" s="1">
        <v>575.71</v>
      </c>
      <c r="M278" s="8">
        <f t="shared" ca="1" si="8"/>
        <v>46011.04483136574</v>
      </c>
      <c r="N278" s="9" t="str">
        <f t="shared" si="9"/>
        <v>Feb</v>
      </c>
    </row>
    <row r="279" spans="1:14" x14ac:dyDescent="0.3">
      <c r="A279" s="1">
        <v>1278</v>
      </c>
      <c r="B279" s="2">
        <v>45446</v>
      </c>
      <c r="C279" s="1" t="s">
        <v>25</v>
      </c>
      <c r="D279" s="1" t="s">
        <v>26</v>
      </c>
      <c r="E279" s="1" t="s">
        <v>14</v>
      </c>
      <c r="F279" s="1" t="s">
        <v>33</v>
      </c>
      <c r="G279" s="1" t="s">
        <v>43</v>
      </c>
      <c r="H279" s="1">
        <v>7500</v>
      </c>
      <c r="I279" s="1">
        <v>1</v>
      </c>
      <c r="J279" s="1">
        <v>0.15</v>
      </c>
      <c r="K279" s="1">
        <v>6375</v>
      </c>
      <c r="L279" s="1">
        <v>1165.52</v>
      </c>
      <c r="M279" s="8">
        <f t="shared" ca="1" si="8"/>
        <v>46011.04483136574</v>
      </c>
      <c r="N279" s="9" t="str">
        <f t="shared" si="9"/>
        <v>Jun</v>
      </c>
    </row>
    <row r="280" spans="1:14" x14ac:dyDescent="0.3">
      <c r="A280" s="1">
        <v>1279</v>
      </c>
      <c r="B280" s="2">
        <v>45393</v>
      </c>
      <c r="C280" s="1" t="s">
        <v>27</v>
      </c>
      <c r="D280" s="1" t="s">
        <v>28</v>
      </c>
      <c r="E280" s="1" t="s">
        <v>19</v>
      </c>
      <c r="F280" s="1" t="s">
        <v>33</v>
      </c>
      <c r="G280" s="1" t="s">
        <v>52</v>
      </c>
      <c r="H280" s="1">
        <v>12000</v>
      </c>
      <c r="I280" s="1">
        <v>3</v>
      </c>
      <c r="J280" s="1">
        <v>0.15</v>
      </c>
      <c r="K280" s="1">
        <v>30600</v>
      </c>
      <c r="L280" s="1">
        <v>5320.43</v>
      </c>
      <c r="M280" s="8">
        <f t="shared" ca="1" si="8"/>
        <v>46011.04483136574</v>
      </c>
      <c r="N280" s="9" t="str">
        <f t="shared" si="9"/>
        <v>Apr</v>
      </c>
    </row>
    <row r="281" spans="1:14" x14ac:dyDescent="0.3">
      <c r="A281" s="1">
        <v>1280</v>
      </c>
      <c r="B281" s="2">
        <v>45407</v>
      </c>
      <c r="C281" s="1" t="s">
        <v>25</v>
      </c>
      <c r="D281" s="1" t="s">
        <v>26</v>
      </c>
      <c r="E281" s="1" t="s">
        <v>19</v>
      </c>
      <c r="F281" s="1" t="s">
        <v>33</v>
      </c>
      <c r="G281" s="1" t="s">
        <v>43</v>
      </c>
      <c r="H281" s="1">
        <v>7500</v>
      </c>
      <c r="I281" s="1">
        <v>5</v>
      </c>
      <c r="J281" s="1">
        <v>0.15</v>
      </c>
      <c r="K281" s="1">
        <v>31875</v>
      </c>
      <c r="L281" s="1">
        <v>8088.45</v>
      </c>
      <c r="M281" s="8">
        <f t="shared" ca="1" si="8"/>
        <v>46011.04483136574</v>
      </c>
      <c r="N281" s="9" t="str">
        <f t="shared" si="9"/>
        <v>Apr</v>
      </c>
    </row>
    <row r="282" spans="1:14" x14ac:dyDescent="0.3">
      <c r="A282" s="1">
        <v>1281</v>
      </c>
      <c r="B282" s="2">
        <v>45383</v>
      </c>
      <c r="C282" s="1" t="s">
        <v>39</v>
      </c>
      <c r="D282" s="1" t="s">
        <v>40</v>
      </c>
      <c r="E282" s="1" t="s">
        <v>32</v>
      </c>
      <c r="F282" s="1" t="s">
        <v>33</v>
      </c>
      <c r="G282" s="1" t="s">
        <v>52</v>
      </c>
      <c r="H282" s="1">
        <v>12000</v>
      </c>
      <c r="I282" s="1">
        <v>4</v>
      </c>
      <c r="J282" s="1">
        <v>0.15</v>
      </c>
      <c r="K282" s="1">
        <v>40800</v>
      </c>
      <c r="L282" s="1">
        <v>10673.5</v>
      </c>
      <c r="M282" s="8">
        <f t="shared" ca="1" si="8"/>
        <v>46011.04483136574</v>
      </c>
      <c r="N282" s="9" t="str">
        <f t="shared" si="9"/>
        <v>Apr</v>
      </c>
    </row>
    <row r="283" spans="1:14" x14ac:dyDescent="0.3">
      <c r="A283" s="1">
        <v>1282</v>
      </c>
      <c r="B283" s="2">
        <v>45462</v>
      </c>
      <c r="C283" s="1" t="s">
        <v>22</v>
      </c>
      <c r="D283" s="1" t="s">
        <v>23</v>
      </c>
      <c r="E283" s="1" t="s">
        <v>14</v>
      </c>
      <c r="F283" s="1" t="s">
        <v>33</v>
      </c>
      <c r="G283" s="1" t="s">
        <v>34</v>
      </c>
      <c r="H283" s="1">
        <v>9500</v>
      </c>
      <c r="I283" s="1">
        <v>5</v>
      </c>
      <c r="J283" s="1">
        <v>0.15</v>
      </c>
      <c r="K283" s="1">
        <v>40375</v>
      </c>
      <c r="L283" s="1">
        <v>6528.09</v>
      </c>
      <c r="M283" s="8">
        <f t="shared" ca="1" si="8"/>
        <v>46011.04483136574</v>
      </c>
      <c r="N283" s="9" t="str">
        <f t="shared" si="9"/>
        <v>Jun</v>
      </c>
    </row>
    <row r="284" spans="1:14" x14ac:dyDescent="0.3">
      <c r="A284" s="1">
        <v>1283</v>
      </c>
      <c r="B284" s="2">
        <v>45313</v>
      </c>
      <c r="C284" s="1" t="s">
        <v>17</v>
      </c>
      <c r="D284" s="1" t="s">
        <v>18</v>
      </c>
      <c r="E284" s="1" t="s">
        <v>14</v>
      </c>
      <c r="F284" s="1" t="s">
        <v>20</v>
      </c>
      <c r="G284" s="1" t="s">
        <v>45</v>
      </c>
      <c r="H284" s="1">
        <v>500</v>
      </c>
      <c r="I284" s="1">
        <v>4</v>
      </c>
      <c r="J284" s="1">
        <v>0.1</v>
      </c>
      <c r="K284" s="1">
        <v>1800</v>
      </c>
      <c r="L284" s="1">
        <v>393.43</v>
      </c>
      <c r="M284" s="8">
        <f t="shared" ca="1" si="8"/>
        <v>46011.04483136574</v>
      </c>
      <c r="N284" s="9" t="str">
        <f t="shared" si="9"/>
        <v>Jan</v>
      </c>
    </row>
    <row r="285" spans="1:14" x14ac:dyDescent="0.3">
      <c r="A285" s="1">
        <v>1284</v>
      </c>
      <c r="B285" s="2">
        <v>45438</v>
      </c>
      <c r="C285" s="1" t="s">
        <v>27</v>
      </c>
      <c r="D285" s="1" t="s">
        <v>28</v>
      </c>
      <c r="E285" s="1" t="s">
        <v>32</v>
      </c>
      <c r="F285" s="1" t="s">
        <v>20</v>
      </c>
      <c r="G285" s="1" t="s">
        <v>45</v>
      </c>
      <c r="H285" s="1">
        <v>500</v>
      </c>
      <c r="I285" s="1">
        <v>3</v>
      </c>
      <c r="J285" s="1">
        <v>0</v>
      </c>
      <c r="K285" s="1">
        <v>1500</v>
      </c>
      <c r="L285" s="1">
        <v>336.83</v>
      </c>
      <c r="M285" s="8">
        <f t="shared" ca="1" si="8"/>
        <v>46011.04483136574</v>
      </c>
      <c r="N285" s="9" t="str">
        <f t="shared" si="9"/>
        <v>May</v>
      </c>
    </row>
    <row r="286" spans="1:14" x14ac:dyDescent="0.3">
      <c r="A286" s="1">
        <v>1285</v>
      </c>
      <c r="B286" s="2">
        <v>45472</v>
      </c>
      <c r="C286" s="1" t="s">
        <v>48</v>
      </c>
      <c r="D286" s="1" t="s">
        <v>49</v>
      </c>
      <c r="E286" s="1" t="s">
        <v>14</v>
      </c>
      <c r="F286" s="1" t="s">
        <v>15</v>
      </c>
      <c r="G286" s="1" t="s">
        <v>44</v>
      </c>
      <c r="H286" s="1">
        <v>18000</v>
      </c>
      <c r="I286" s="1">
        <v>5</v>
      </c>
      <c r="J286" s="1">
        <v>0</v>
      </c>
      <c r="K286" s="1">
        <v>90000</v>
      </c>
      <c r="L286" s="1">
        <v>24725.49</v>
      </c>
      <c r="M286" s="8">
        <f t="shared" ca="1" si="8"/>
        <v>46011.04483136574</v>
      </c>
      <c r="N286" s="9" t="str">
        <f t="shared" si="9"/>
        <v>Jun</v>
      </c>
    </row>
    <row r="287" spans="1:14" x14ac:dyDescent="0.3">
      <c r="A287" s="1">
        <v>1286</v>
      </c>
      <c r="B287" s="2">
        <v>45452</v>
      </c>
      <c r="C287" s="1" t="s">
        <v>12</v>
      </c>
      <c r="D287" s="1" t="s">
        <v>13</v>
      </c>
      <c r="E287" s="1" t="s">
        <v>32</v>
      </c>
      <c r="F287" s="1" t="s">
        <v>20</v>
      </c>
      <c r="G287" s="1" t="s">
        <v>21</v>
      </c>
      <c r="H287" s="1">
        <v>200</v>
      </c>
      <c r="I287" s="1">
        <v>5</v>
      </c>
      <c r="J287" s="1">
        <v>0.1</v>
      </c>
      <c r="K287" s="1">
        <v>900</v>
      </c>
      <c r="L287" s="1">
        <v>209.8</v>
      </c>
      <c r="M287" s="8">
        <f t="shared" ca="1" si="8"/>
        <v>46011.04483136574</v>
      </c>
      <c r="N287" s="9" t="str">
        <f t="shared" si="9"/>
        <v>Jun</v>
      </c>
    </row>
    <row r="288" spans="1:14" x14ac:dyDescent="0.3">
      <c r="A288" s="1">
        <v>1287</v>
      </c>
      <c r="B288" s="2">
        <v>45379</v>
      </c>
      <c r="C288" s="1" t="s">
        <v>41</v>
      </c>
      <c r="D288" s="1" t="s">
        <v>42</v>
      </c>
      <c r="E288" s="1" t="s">
        <v>29</v>
      </c>
      <c r="F288" s="1" t="s">
        <v>15</v>
      </c>
      <c r="G288" s="1" t="s">
        <v>35</v>
      </c>
      <c r="H288" s="1">
        <v>55000</v>
      </c>
      <c r="I288" s="1">
        <v>5</v>
      </c>
      <c r="J288" s="1">
        <v>0.15</v>
      </c>
      <c r="K288" s="1">
        <v>233750</v>
      </c>
      <c r="L288" s="1">
        <v>54514.01</v>
      </c>
      <c r="M288" s="8">
        <f t="shared" ca="1" si="8"/>
        <v>46011.04483136574</v>
      </c>
      <c r="N288" s="9" t="str">
        <f t="shared" si="9"/>
        <v>Mar</v>
      </c>
    </row>
    <row r="289" spans="1:14" x14ac:dyDescent="0.3">
      <c r="A289" s="1">
        <v>1288</v>
      </c>
      <c r="B289" s="2">
        <v>45435</v>
      </c>
      <c r="C289" s="1" t="s">
        <v>25</v>
      </c>
      <c r="D289" s="1" t="s">
        <v>26</v>
      </c>
      <c r="E289" s="1" t="s">
        <v>19</v>
      </c>
      <c r="F289" s="1" t="s">
        <v>20</v>
      </c>
      <c r="G289" s="1" t="s">
        <v>38</v>
      </c>
      <c r="H289" s="1">
        <v>350</v>
      </c>
      <c r="I289" s="1">
        <v>2</v>
      </c>
      <c r="J289" s="1">
        <v>0.15</v>
      </c>
      <c r="K289" s="1">
        <v>595</v>
      </c>
      <c r="L289" s="1">
        <v>128.69</v>
      </c>
      <c r="M289" s="8">
        <f t="shared" ca="1" si="8"/>
        <v>46011.04483136574</v>
      </c>
      <c r="N289" s="9" t="str">
        <f t="shared" si="9"/>
        <v>May</v>
      </c>
    </row>
    <row r="290" spans="1:14" x14ac:dyDescent="0.3">
      <c r="A290" s="1">
        <v>1289</v>
      </c>
      <c r="B290" s="2">
        <v>45409</v>
      </c>
      <c r="C290" s="1" t="s">
        <v>50</v>
      </c>
      <c r="D290" s="1" t="s">
        <v>51</v>
      </c>
      <c r="E290" s="1" t="s">
        <v>14</v>
      </c>
      <c r="F290" s="1" t="s">
        <v>20</v>
      </c>
      <c r="G290" s="1" t="s">
        <v>38</v>
      </c>
      <c r="H290" s="1">
        <v>350</v>
      </c>
      <c r="I290" s="1">
        <v>2</v>
      </c>
      <c r="J290" s="1">
        <v>0.15</v>
      </c>
      <c r="K290" s="1">
        <v>595</v>
      </c>
      <c r="L290" s="1">
        <v>176.07</v>
      </c>
      <c r="M290" s="8">
        <f t="shared" ca="1" si="8"/>
        <v>46011.04483136574</v>
      </c>
      <c r="N290" s="9" t="str">
        <f t="shared" si="9"/>
        <v>Apr</v>
      </c>
    </row>
    <row r="291" spans="1:14" x14ac:dyDescent="0.3">
      <c r="A291" s="1">
        <v>1290</v>
      </c>
      <c r="B291" s="2">
        <v>45466</v>
      </c>
      <c r="C291" s="1" t="s">
        <v>17</v>
      </c>
      <c r="D291" s="1" t="s">
        <v>18</v>
      </c>
      <c r="E291" s="1" t="s">
        <v>29</v>
      </c>
      <c r="F291" s="1" t="s">
        <v>15</v>
      </c>
      <c r="G291" s="1" t="s">
        <v>24</v>
      </c>
      <c r="H291" s="1">
        <v>22000</v>
      </c>
      <c r="I291" s="1">
        <v>4</v>
      </c>
      <c r="J291" s="1">
        <v>0.1</v>
      </c>
      <c r="K291" s="1">
        <v>79200</v>
      </c>
      <c r="L291" s="1">
        <v>14589.04</v>
      </c>
      <c r="M291" s="8">
        <f t="shared" ca="1" si="8"/>
        <v>46011.04483136574</v>
      </c>
      <c r="N291" s="9" t="str">
        <f t="shared" si="9"/>
        <v>Jun</v>
      </c>
    </row>
    <row r="292" spans="1:14" x14ac:dyDescent="0.3">
      <c r="A292" s="1">
        <v>1291</v>
      </c>
      <c r="B292" s="2">
        <v>45343</v>
      </c>
      <c r="C292" s="1" t="s">
        <v>17</v>
      </c>
      <c r="D292" s="1" t="s">
        <v>18</v>
      </c>
      <c r="E292" s="1" t="s">
        <v>29</v>
      </c>
      <c r="F292" s="1" t="s">
        <v>20</v>
      </c>
      <c r="G292" s="1" t="s">
        <v>21</v>
      </c>
      <c r="H292" s="1">
        <v>200</v>
      </c>
      <c r="I292" s="1">
        <v>3</v>
      </c>
      <c r="J292" s="1">
        <v>0.05</v>
      </c>
      <c r="K292" s="1">
        <v>570</v>
      </c>
      <c r="L292" s="1">
        <v>142.1</v>
      </c>
      <c r="M292" s="8">
        <f t="shared" ca="1" si="8"/>
        <v>46011.04483136574</v>
      </c>
      <c r="N292" s="9" t="str">
        <f t="shared" si="9"/>
        <v>Feb</v>
      </c>
    </row>
    <row r="293" spans="1:14" x14ac:dyDescent="0.3">
      <c r="A293" s="1">
        <v>1292</v>
      </c>
      <c r="B293" s="2">
        <v>45315</v>
      </c>
      <c r="C293" s="1" t="s">
        <v>17</v>
      </c>
      <c r="D293" s="1" t="s">
        <v>18</v>
      </c>
      <c r="E293" s="1" t="s">
        <v>14</v>
      </c>
      <c r="F293" s="1" t="s">
        <v>15</v>
      </c>
      <c r="G293" s="1" t="s">
        <v>16</v>
      </c>
      <c r="H293" s="1">
        <v>3000</v>
      </c>
      <c r="I293" s="1">
        <v>1</v>
      </c>
      <c r="J293" s="1">
        <v>0.05</v>
      </c>
      <c r="K293" s="1">
        <v>2850</v>
      </c>
      <c r="L293" s="1">
        <v>664.38</v>
      </c>
      <c r="M293" s="8">
        <f t="shared" ca="1" si="8"/>
        <v>46011.04483136574</v>
      </c>
      <c r="N293" s="9" t="str">
        <f t="shared" si="9"/>
        <v>Jan</v>
      </c>
    </row>
    <row r="294" spans="1:14" x14ac:dyDescent="0.3">
      <c r="A294" s="1">
        <v>1293</v>
      </c>
      <c r="B294" s="2">
        <v>45341</v>
      </c>
      <c r="C294" s="1" t="s">
        <v>12</v>
      </c>
      <c r="D294" s="1" t="s">
        <v>13</v>
      </c>
      <c r="E294" s="1" t="s">
        <v>32</v>
      </c>
      <c r="F294" s="1" t="s">
        <v>20</v>
      </c>
      <c r="G294" s="1" t="s">
        <v>21</v>
      </c>
      <c r="H294" s="1">
        <v>200</v>
      </c>
      <c r="I294" s="1">
        <v>4</v>
      </c>
      <c r="J294" s="1">
        <v>0.05</v>
      </c>
      <c r="K294" s="1">
        <v>760</v>
      </c>
      <c r="L294" s="1">
        <v>243.6</v>
      </c>
      <c r="M294" s="8">
        <f t="shared" ca="1" si="8"/>
        <v>46011.04483136574</v>
      </c>
      <c r="N294" s="9" t="str">
        <f t="shared" si="9"/>
        <v>Feb</v>
      </c>
    </row>
    <row r="295" spans="1:14" x14ac:dyDescent="0.3">
      <c r="A295" s="1">
        <v>1294</v>
      </c>
      <c r="B295" s="2">
        <v>45363</v>
      </c>
      <c r="C295" s="1" t="s">
        <v>22</v>
      </c>
      <c r="D295" s="1" t="s">
        <v>23</v>
      </c>
      <c r="E295" s="1" t="s">
        <v>14</v>
      </c>
      <c r="F295" s="1" t="s">
        <v>20</v>
      </c>
      <c r="G295" s="1" t="s">
        <v>38</v>
      </c>
      <c r="H295" s="1">
        <v>350</v>
      </c>
      <c r="I295" s="1">
        <v>4</v>
      </c>
      <c r="J295" s="1">
        <v>0</v>
      </c>
      <c r="K295" s="1">
        <v>1400</v>
      </c>
      <c r="L295" s="1">
        <v>349.27</v>
      </c>
      <c r="M295" s="8">
        <f t="shared" ca="1" si="8"/>
        <v>46011.04483136574</v>
      </c>
      <c r="N295" s="9" t="str">
        <f t="shared" si="9"/>
        <v>Mar</v>
      </c>
    </row>
    <row r="296" spans="1:14" x14ac:dyDescent="0.3">
      <c r="A296" s="1">
        <v>1295</v>
      </c>
      <c r="B296" s="2">
        <v>45406</v>
      </c>
      <c r="C296" s="1" t="s">
        <v>25</v>
      </c>
      <c r="D296" s="1" t="s">
        <v>26</v>
      </c>
      <c r="E296" s="1" t="s">
        <v>32</v>
      </c>
      <c r="F296" s="1" t="s">
        <v>15</v>
      </c>
      <c r="G296" s="1" t="s">
        <v>35</v>
      </c>
      <c r="H296" s="1">
        <v>55000</v>
      </c>
      <c r="I296" s="1">
        <v>3</v>
      </c>
      <c r="J296" s="1">
        <v>0</v>
      </c>
      <c r="K296" s="1">
        <v>165000</v>
      </c>
      <c r="L296" s="1">
        <v>27020.38</v>
      </c>
      <c r="M296" s="8">
        <f t="shared" ca="1" si="8"/>
        <v>46011.04483136574</v>
      </c>
      <c r="N296" s="9" t="str">
        <f t="shared" si="9"/>
        <v>Apr</v>
      </c>
    </row>
    <row r="297" spans="1:14" x14ac:dyDescent="0.3">
      <c r="A297" s="1">
        <v>1296</v>
      </c>
      <c r="B297" s="2">
        <v>45304</v>
      </c>
      <c r="C297" s="1" t="s">
        <v>41</v>
      </c>
      <c r="D297" s="1" t="s">
        <v>42</v>
      </c>
      <c r="E297" s="1" t="s">
        <v>29</v>
      </c>
      <c r="F297" s="1" t="s">
        <v>33</v>
      </c>
      <c r="G297" s="1" t="s">
        <v>43</v>
      </c>
      <c r="H297" s="1">
        <v>7500</v>
      </c>
      <c r="I297" s="1">
        <v>4</v>
      </c>
      <c r="J297" s="1">
        <v>0.15</v>
      </c>
      <c r="K297" s="1">
        <v>25500</v>
      </c>
      <c r="L297" s="1">
        <v>6610.86</v>
      </c>
      <c r="M297" s="8">
        <f t="shared" ca="1" si="8"/>
        <v>46011.04483136574</v>
      </c>
      <c r="N297" s="9" t="str">
        <f t="shared" si="9"/>
        <v>Jan</v>
      </c>
    </row>
    <row r="298" spans="1:14" x14ac:dyDescent="0.3">
      <c r="A298" s="1">
        <v>1297</v>
      </c>
      <c r="B298" s="2">
        <v>45317</v>
      </c>
      <c r="C298" s="1" t="s">
        <v>50</v>
      </c>
      <c r="D298" s="1" t="s">
        <v>51</v>
      </c>
      <c r="E298" s="1" t="s">
        <v>29</v>
      </c>
      <c r="F298" s="1" t="s">
        <v>15</v>
      </c>
      <c r="G298" s="1" t="s">
        <v>16</v>
      </c>
      <c r="H298" s="1">
        <v>3000</v>
      </c>
      <c r="I298" s="1">
        <v>3</v>
      </c>
      <c r="J298" s="1">
        <v>0.05</v>
      </c>
      <c r="K298" s="1">
        <v>8550</v>
      </c>
      <c r="L298" s="1">
        <v>2416.77</v>
      </c>
      <c r="M298" s="8">
        <f t="shared" ca="1" si="8"/>
        <v>46011.04483136574</v>
      </c>
      <c r="N298" s="9" t="str">
        <f t="shared" si="9"/>
        <v>Jan</v>
      </c>
    </row>
    <row r="299" spans="1:14" x14ac:dyDescent="0.3">
      <c r="A299" s="1">
        <v>1298</v>
      </c>
      <c r="B299" s="2">
        <v>45320</v>
      </c>
      <c r="C299" s="1" t="s">
        <v>46</v>
      </c>
      <c r="D299" s="1" t="s">
        <v>47</v>
      </c>
      <c r="E299" s="1" t="s">
        <v>19</v>
      </c>
      <c r="F299" s="1" t="s">
        <v>20</v>
      </c>
      <c r="G299" s="1" t="s">
        <v>38</v>
      </c>
      <c r="H299" s="1">
        <v>350</v>
      </c>
      <c r="I299" s="1">
        <v>2</v>
      </c>
      <c r="J299" s="1">
        <v>0.05</v>
      </c>
      <c r="K299" s="1">
        <v>665</v>
      </c>
      <c r="L299" s="1">
        <v>167.46</v>
      </c>
      <c r="M299" s="8">
        <f t="shared" ca="1" si="8"/>
        <v>46011.04483136574</v>
      </c>
      <c r="N299" s="9" t="str">
        <f t="shared" si="9"/>
        <v>Jan</v>
      </c>
    </row>
    <row r="300" spans="1:14" x14ac:dyDescent="0.3">
      <c r="A300" s="1">
        <v>1299</v>
      </c>
      <c r="B300" s="2">
        <v>45469</v>
      </c>
      <c r="C300" s="1" t="s">
        <v>39</v>
      </c>
      <c r="D300" s="1" t="s">
        <v>40</v>
      </c>
      <c r="E300" s="1" t="s">
        <v>29</v>
      </c>
      <c r="F300" s="1" t="s">
        <v>33</v>
      </c>
      <c r="G300" s="1" t="s">
        <v>43</v>
      </c>
      <c r="H300" s="1">
        <v>7500</v>
      </c>
      <c r="I300" s="1">
        <v>4</v>
      </c>
      <c r="J300" s="1">
        <v>0.15</v>
      </c>
      <c r="K300" s="1">
        <v>25500</v>
      </c>
      <c r="L300" s="1">
        <v>8057.1</v>
      </c>
      <c r="M300" s="8">
        <f t="shared" ca="1" si="8"/>
        <v>46011.04483136574</v>
      </c>
      <c r="N300" s="9" t="str">
        <f t="shared" si="9"/>
        <v>Jun</v>
      </c>
    </row>
    <row r="301" spans="1:14" x14ac:dyDescent="0.3">
      <c r="A301" s="1">
        <v>1300</v>
      </c>
      <c r="B301" s="2">
        <v>45314</v>
      </c>
      <c r="C301" s="1" t="s">
        <v>25</v>
      </c>
      <c r="D301" s="1" t="s">
        <v>26</v>
      </c>
      <c r="E301" s="1" t="s">
        <v>19</v>
      </c>
      <c r="F301" s="1" t="s">
        <v>15</v>
      </c>
      <c r="G301" s="1" t="s">
        <v>35</v>
      </c>
      <c r="H301" s="1">
        <v>55000</v>
      </c>
      <c r="I301" s="1">
        <v>5</v>
      </c>
      <c r="J301" s="1">
        <v>0</v>
      </c>
      <c r="K301" s="1">
        <v>275000</v>
      </c>
      <c r="L301" s="1">
        <v>55782.14</v>
      </c>
      <c r="M301" s="8">
        <f t="shared" ca="1" si="8"/>
        <v>46011.04483136574</v>
      </c>
      <c r="N301" s="9" t="str">
        <f t="shared" si="9"/>
        <v>Jan</v>
      </c>
    </row>
    <row r="302" spans="1:14" x14ac:dyDescent="0.3">
      <c r="A302" s="1">
        <v>1301</v>
      </c>
      <c r="B302" s="2">
        <v>45465</v>
      </c>
      <c r="C302" s="1" t="s">
        <v>41</v>
      </c>
      <c r="D302" s="1" t="s">
        <v>42</v>
      </c>
      <c r="E302" s="1" t="s">
        <v>19</v>
      </c>
      <c r="F302" s="1" t="s">
        <v>20</v>
      </c>
      <c r="G302" s="1" t="s">
        <v>45</v>
      </c>
      <c r="H302" s="1">
        <v>500</v>
      </c>
      <c r="I302" s="1">
        <v>1</v>
      </c>
      <c r="J302" s="1">
        <v>0.05</v>
      </c>
      <c r="K302" s="1">
        <v>475</v>
      </c>
      <c r="L302" s="1">
        <v>108.36</v>
      </c>
      <c r="M302" s="8">
        <f t="shared" ca="1" si="8"/>
        <v>46011.04483136574</v>
      </c>
      <c r="N302" s="9" t="str">
        <f t="shared" si="9"/>
        <v>Jun</v>
      </c>
    </row>
    <row r="303" spans="1:14" x14ac:dyDescent="0.3">
      <c r="A303" s="1">
        <v>1302</v>
      </c>
      <c r="B303" s="2">
        <v>45310</v>
      </c>
      <c r="C303" s="1" t="s">
        <v>22</v>
      </c>
      <c r="D303" s="1" t="s">
        <v>23</v>
      </c>
      <c r="E303" s="1" t="s">
        <v>32</v>
      </c>
      <c r="F303" s="1" t="s">
        <v>33</v>
      </c>
      <c r="G303" s="1" t="s">
        <v>52</v>
      </c>
      <c r="H303" s="1">
        <v>12000</v>
      </c>
      <c r="I303" s="1">
        <v>3</v>
      </c>
      <c r="J303" s="1">
        <v>0.15</v>
      </c>
      <c r="K303" s="1">
        <v>30600</v>
      </c>
      <c r="L303" s="1">
        <v>7139.13</v>
      </c>
      <c r="M303" s="8">
        <f t="shared" ca="1" si="8"/>
        <v>46011.04483136574</v>
      </c>
      <c r="N303" s="9" t="str">
        <f t="shared" si="9"/>
        <v>Jan</v>
      </c>
    </row>
    <row r="304" spans="1:14" x14ac:dyDescent="0.3">
      <c r="A304" s="1">
        <v>1303</v>
      </c>
      <c r="B304" s="2">
        <v>45447</v>
      </c>
      <c r="C304" s="1" t="s">
        <v>30</v>
      </c>
      <c r="D304" s="1" t="s">
        <v>31</v>
      </c>
      <c r="E304" s="1" t="s">
        <v>19</v>
      </c>
      <c r="F304" s="1" t="s">
        <v>20</v>
      </c>
      <c r="G304" s="1" t="s">
        <v>38</v>
      </c>
      <c r="H304" s="1">
        <v>350</v>
      </c>
      <c r="I304" s="1">
        <v>4</v>
      </c>
      <c r="J304" s="1">
        <v>0.05</v>
      </c>
      <c r="K304" s="1">
        <v>1330</v>
      </c>
      <c r="L304" s="1">
        <v>356.07</v>
      </c>
      <c r="M304" s="8">
        <f t="shared" ca="1" si="8"/>
        <v>46011.04483136574</v>
      </c>
      <c r="N304" s="9" t="str">
        <f t="shared" si="9"/>
        <v>Jun</v>
      </c>
    </row>
    <row r="305" spans="1:14" x14ac:dyDescent="0.3">
      <c r="A305" s="1">
        <v>1304</v>
      </c>
      <c r="B305" s="2">
        <v>45467</v>
      </c>
      <c r="C305" s="1" t="s">
        <v>27</v>
      </c>
      <c r="D305" s="1" t="s">
        <v>28</v>
      </c>
      <c r="E305" s="1" t="s">
        <v>32</v>
      </c>
      <c r="F305" s="1" t="s">
        <v>20</v>
      </c>
      <c r="G305" s="1" t="s">
        <v>45</v>
      </c>
      <c r="H305" s="1">
        <v>500</v>
      </c>
      <c r="I305" s="1">
        <v>4</v>
      </c>
      <c r="J305" s="1">
        <v>0.05</v>
      </c>
      <c r="K305" s="1">
        <v>1900</v>
      </c>
      <c r="L305" s="1">
        <v>310.33</v>
      </c>
      <c r="M305" s="8">
        <f t="shared" ca="1" si="8"/>
        <v>46011.04483136574</v>
      </c>
      <c r="N305" s="9" t="str">
        <f t="shared" si="9"/>
        <v>Jun</v>
      </c>
    </row>
    <row r="306" spans="1:14" x14ac:dyDescent="0.3">
      <c r="A306" s="1">
        <v>1305</v>
      </c>
      <c r="B306" s="2">
        <v>45422</v>
      </c>
      <c r="C306" s="1" t="s">
        <v>22</v>
      </c>
      <c r="D306" s="1" t="s">
        <v>23</v>
      </c>
      <c r="E306" s="1" t="s">
        <v>32</v>
      </c>
      <c r="F306" s="1" t="s">
        <v>33</v>
      </c>
      <c r="G306" s="1" t="s">
        <v>52</v>
      </c>
      <c r="H306" s="1">
        <v>12000</v>
      </c>
      <c r="I306" s="1">
        <v>5</v>
      </c>
      <c r="J306" s="1">
        <v>0</v>
      </c>
      <c r="K306" s="1">
        <v>60000</v>
      </c>
      <c r="L306" s="1">
        <v>12427.42</v>
      </c>
      <c r="M306" s="8">
        <f t="shared" ca="1" si="8"/>
        <v>46011.04483136574</v>
      </c>
      <c r="N306" s="9" t="str">
        <f t="shared" si="9"/>
        <v>May</v>
      </c>
    </row>
    <row r="307" spans="1:14" x14ac:dyDescent="0.3">
      <c r="A307" s="1">
        <v>1306</v>
      </c>
      <c r="B307" s="2">
        <v>45338</v>
      </c>
      <c r="C307" s="1" t="s">
        <v>41</v>
      </c>
      <c r="D307" s="1" t="s">
        <v>42</v>
      </c>
      <c r="E307" s="1" t="s">
        <v>29</v>
      </c>
      <c r="F307" s="1" t="s">
        <v>15</v>
      </c>
      <c r="G307" s="1" t="s">
        <v>24</v>
      </c>
      <c r="H307" s="1">
        <v>22000</v>
      </c>
      <c r="I307" s="1">
        <v>4</v>
      </c>
      <c r="J307" s="1">
        <v>0.05</v>
      </c>
      <c r="K307" s="1">
        <v>83600</v>
      </c>
      <c r="L307" s="1">
        <v>17121.689999999999</v>
      </c>
      <c r="M307" s="8">
        <f t="shared" ca="1" si="8"/>
        <v>46011.04483136574</v>
      </c>
      <c r="N307" s="9" t="str">
        <f t="shared" si="9"/>
        <v>Feb</v>
      </c>
    </row>
    <row r="308" spans="1:14" x14ac:dyDescent="0.3">
      <c r="A308" s="1">
        <v>1307</v>
      </c>
      <c r="B308" s="2">
        <v>45336</v>
      </c>
      <c r="C308" s="1" t="s">
        <v>25</v>
      </c>
      <c r="D308" s="1" t="s">
        <v>26</v>
      </c>
      <c r="E308" s="1" t="s">
        <v>19</v>
      </c>
      <c r="F308" s="1" t="s">
        <v>20</v>
      </c>
      <c r="G308" s="1" t="s">
        <v>38</v>
      </c>
      <c r="H308" s="1">
        <v>350</v>
      </c>
      <c r="I308" s="1">
        <v>3</v>
      </c>
      <c r="J308" s="1">
        <v>0.1</v>
      </c>
      <c r="K308" s="1">
        <v>945</v>
      </c>
      <c r="L308" s="1">
        <v>190.38</v>
      </c>
      <c r="M308" s="8">
        <f t="shared" ca="1" si="8"/>
        <v>46011.04483136574</v>
      </c>
      <c r="N308" s="9" t="str">
        <f t="shared" si="9"/>
        <v>Feb</v>
      </c>
    </row>
    <row r="309" spans="1:14" x14ac:dyDescent="0.3">
      <c r="A309" s="1">
        <v>1308</v>
      </c>
      <c r="B309" s="2">
        <v>45414</v>
      </c>
      <c r="C309" s="1" t="s">
        <v>30</v>
      </c>
      <c r="D309" s="1" t="s">
        <v>31</v>
      </c>
      <c r="E309" s="1" t="s">
        <v>32</v>
      </c>
      <c r="F309" s="1" t="s">
        <v>15</v>
      </c>
      <c r="G309" s="1" t="s">
        <v>16</v>
      </c>
      <c r="H309" s="1">
        <v>3000</v>
      </c>
      <c r="I309" s="1">
        <v>4</v>
      </c>
      <c r="J309" s="1">
        <v>0.05</v>
      </c>
      <c r="K309" s="1">
        <v>11400</v>
      </c>
      <c r="L309" s="1">
        <v>3656.94</v>
      </c>
      <c r="M309" s="8">
        <f t="shared" ca="1" si="8"/>
        <v>46011.04483136574</v>
      </c>
      <c r="N309" s="9" t="str">
        <f t="shared" si="9"/>
        <v>May</v>
      </c>
    </row>
    <row r="310" spans="1:14" x14ac:dyDescent="0.3">
      <c r="A310" s="1">
        <v>1309</v>
      </c>
      <c r="B310" s="2">
        <v>45354</v>
      </c>
      <c r="C310" s="1" t="s">
        <v>30</v>
      </c>
      <c r="D310" s="1" t="s">
        <v>31</v>
      </c>
      <c r="E310" s="1" t="s">
        <v>19</v>
      </c>
      <c r="F310" s="1" t="s">
        <v>15</v>
      </c>
      <c r="G310" s="1" t="s">
        <v>44</v>
      </c>
      <c r="H310" s="1">
        <v>18000</v>
      </c>
      <c r="I310" s="1">
        <v>3</v>
      </c>
      <c r="J310" s="1">
        <v>0</v>
      </c>
      <c r="K310" s="1">
        <v>54000</v>
      </c>
      <c r="L310" s="1">
        <v>16857.060000000001</v>
      </c>
      <c r="M310" s="8">
        <f t="shared" ca="1" si="8"/>
        <v>46011.04483136574</v>
      </c>
      <c r="N310" s="9" t="str">
        <f t="shared" si="9"/>
        <v>Mar</v>
      </c>
    </row>
    <row r="311" spans="1:14" x14ac:dyDescent="0.3">
      <c r="A311" s="1">
        <v>1310</v>
      </c>
      <c r="B311" s="2">
        <v>45442</v>
      </c>
      <c r="C311" s="1" t="s">
        <v>17</v>
      </c>
      <c r="D311" s="1" t="s">
        <v>18</v>
      </c>
      <c r="E311" s="1" t="s">
        <v>32</v>
      </c>
      <c r="F311" s="1" t="s">
        <v>20</v>
      </c>
      <c r="G311" s="1" t="s">
        <v>45</v>
      </c>
      <c r="H311" s="1">
        <v>500</v>
      </c>
      <c r="I311" s="1">
        <v>4</v>
      </c>
      <c r="J311" s="1">
        <v>0</v>
      </c>
      <c r="K311" s="1">
        <v>2000</v>
      </c>
      <c r="L311" s="1">
        <v>434.49</v>
      </c>
      <c r="M311" s="8">
        <f t="shared" ca="1" si="8"/>
        <v>46011.04483136574</v>
      </c>
      <c r="N311" s="9" t="str">
        <f t="shared" si="9"/>
        <v>May</v>
      </c>
    </row>
    <row r="312" spans="1:14" x14ac:dyDescent="0.3">
      <c r="A312" s="1">
        <v>1311</v>
      </c>
      <c r="B312" s="2">
        <v>45351</v>
      </c>
      <c r="C312" s="1" t="s">
        <v>17</v>
      </c>
      <c r="D312" s="1" t="s">
        <v>18</v>
      </c>
      <c r="E312" s="1" t="s">
        <v>29</v>
      </c>
      <c r="F312" s="1" t="s">
        <v>20</v>
      </c>
      <c r="G312" s="1" t="s">
        <v>21</v>
      </c>
      <c r="H312" s="1">
        <v>200</v>
      </c>
      <c r="I312" s="1">
        <v>5</v>
      </c>
      <c r="J312" s="1">
        <v>0.05</v>
      </c>
      <c r="K312" s="1">
        <v>950</v>
      </c>
      <c r="L312" s="1">
        <v>173.47</v>
      </c>
      <c r="M312" s="8">
        <f t="shared" ca="1" si="8"/>
        <v>46011.04483136574</v>
      </c>
      <c r="N312" s="9" t="str">
        <f t="shared" si="9"/>
        <v>Feb</v>
      </c>
    </row>
    <row r="313" spans="1:14" x14ac:dyDescent="0.3">
      <c r="A313" s="1">
        <v>1312</v>
      </c>
      <c r="B313" s="2">
        <v>45413</v>
      </c>
      <c r="C313" s="1" t="s">
        <v>17</v>
      </c>
      <c r="D313" s="1" t="s">
        <v>18</v>
      </c>
      <c r="E313" s="1" t="s">
        <v>29</v>
      </c>
      <c r="F313" s="1" t="s">
        <v>20</v>
      </c>
      <c r="G313" s="1" t="s">
        <v>21</v>
      </c>
      <c r="H313" s="1">
        <v>200</v>
      </c>
      <c r="I313" s="1">
        <v>3</v>
      </c>
      <c r="J313" s="1">
        <v>0.05</v>
      </c>
      <c r="K313" s="1">
        <v>570</v>
      </c>
      <c r="L313" s="1">
        <v>125.53</v>
      </c>
      <c r="M313" s="8">
        <f t="shared" ca="1" si="8"/>
        <v>46011.04483136574</v>
      </c>
      <c r="N313" s="9" t="str">
        <f t="shared" si="9"/>
        <v>May</v>
      </c>
    </row>
    <row r="314" spans="1:14" x14ac:dyDescent="0.3">
      <c r="A314" s="1">
        <v>1313</v>
      </c>
      <c r="B314" s="2">
        <v>45426</v>
      </c>
      <c r="C314" s="1" t="s">
        <v>50</v>
      </c>
      <c r="D314" s="1" t="s">
        <v>51</v>
      </c>
      <c r="E314" s="1" t="s">
        <v>29</v>
      </c>
      <c r="F314" s="1" t="s">
        <v>20</v>
      </c>
      <c r="G314" s="1" t="s">
        <v>21</v>
      </c>
      <c r="H314" s="1">
        <v>200</v>
      </c>
      <c r="I314" s="1">
        <v>3</v>
      </c>
      <c r="J314" s="1">
        <v>0.1</v>
      </c>
      <c r="K314" s="1">
        <v>540</v>
      </c>
      <c r="L314" s="1">
        <v>162.26</v>
      </c>
      <c r="M314" s="8">
        <f t="shared" ca="1" si="8"/>
        <v>46011.04483136574</v>
      </c>
      <c r="N314" s="9" t="str">
        <f t="shared" si="9"/>
        <v>May</v>
      </c>
    </row>
    <row r="315" spans="1:14" x14ac:dyDescent="0.3">
      <c r="A315" s="1">
        <v>1314</v>
      </c>
      <c r="B315" s="2">
        <v>45362</v>
      </c>
      <c r="C315" s="1" t="s">
        <v>22</v>
      </c>
      <c r="D315" s="1" t="s">
        <v>23</v>
      </c>
      <c r="E315" s="1" t="s">
        <v>29</v>
      </c>
      <c r="F315" s="1" t="s">
        <v>20</v>
      </c>
      <c r="G315" s="1" t="s">
        <v>21</v>
      </c>
      <c r="H315" s="1">
        <v>200</v>
      </c>
      <c r="I315" s="1">
        <v>2</v>
      </c>
      <c r="J315" s="1">
        <v>0</v>
      </c>
      <c r="K315" s="1">
        <v>400</v>
      </c>
      <c r="L315" s="1">
        <v>100.39</v>
      </c>
      <c r="M315" s="8">
        <f t="shared" ca="1" si="8"/>
        <v>46011.04483136574</v>
      </c>
      <c r="N315" s="9" t="str">
        <f t="shared" si="9"/>
        <v>Mar</v>
      </c>
    </row>
    <row r="316" spans="1:14" x14ac:dyDescent="0.3">
      <c r="A316" s="1">
        <v>1315</v>
      </c>
      <c r="B316" s="2">
        <v>45472</v>
      </c>
      <c r="C316" s="1" t="s">
        <v>27</v>
      </c>
      <c r="D316" s="1" t="s">
        <v>28</v>
      </c>
      <c r="E316" s="1" t="s">
        <v>32</v>
      </c>
      <c r="F316" s="1" t="s">
        <v>33</v>
      </c>
      <c r="G316" s="1" t="s">
        <v>34</v>
      </c>
      <c r="H316" s="1">
        <v>9500</v>
      </c>
      <c r="I316" s="1">
        <v>4</v>
      </c>
      <c r="J316" s="1">
        <v>0.1</v>
      </c>
      <c r="K316" s="1">
        <v>34200</v>
      </c>
      <c r="L316" s="1">
        <v>9293.24</v>
      </c>
      <c r="M316" s="8">
        <f t="shared" ca="1" si="8"/>
        <v>46011.04483136574</v>
      </c>
      <c r="N316" s="9" t="str">
        <f t="shared" si="9"/>
        <v>Jun</v>
      </c>
    </row>
    <row r="317" spans="1:14" x14ac:dyDescent="0.3">
      <c r="A317" s="1">
        <v>1316</v>
      </c>
      <c r="B317" s="2">
        <v>45402</v>
      </c>
      <c r="C317" s="1" t="s">
        <v>46</v>
      </c>
      <c r="D317" s="1" t="s">
        <v>47</v>
      </c>
      <c r="E317" s="1" t="s">
        <v>14</v>
      </c>
      <c r="F317" s="1" t="s">
        <v>15</v>
      </c>
      <c r="G317" s="1" t="s">
        <v>24</v>
      </c>
      <c r="H317" s="1">
        <v>22000</v>
      </c>
      <c r="I317" s="1">
        <v>5</v>
      </c>
      <c r="J317" s="1">
        <v>0</v>
      </c>
      <c r="K317" s="1">
        <v>110000</v>
      </c>
      <c r="L317" s="1">
        <v>28380.639999999999</v>
      </c>
      <c r="M317" s="8">
        <f t="shared" ca="1" si="8"/>
        <v>46011.04483136574</v>
      </c>
      <c r="N317" s="9" t="str">
        <f t="shared" si="9"/>
        <v>Apr</v>
      </c>
    </row>
    <row r="318" spans="1:14" x14ac:dyDescent="0.3">
      <c r="A318" s="1">
        <v>1317</v>
      </c>
      <c r="B318" s="2">
        <v>45367</v>
      </c>
      <c r="C318" s="1" t="s">
        <v>27</v>
      </c>
      <c r="D318" s="1" t="s">
        <v>28</v>
      </c>
      <c r="E318" s="1" t="s">
        <v>19</v>
      </c>
      <c r="F318" s="1" t="s">
        <v>33</v>
      </c>
      <c r="G318" s="1" t="s">
        <v>34</v>
      </c>
      <c r="H318" s="1">
        <v>9500</v>
      </c>
      <c r="I318" s="1">
        <v>4</v>
      </c>
      <c r="J318" s="1">
        <v>0.1</v>
      </c>
      <c r="K318" s="1">
        <v>34200</v>
      </c>
      <c r="L318" s="1">
        <v>5910.06</v>
      </c>
      <c r="M318" s="8">
        <f t="shared" ca="1" si="8"/>
        <v>46011.04483136574</v>
      </c>
      <c r="N318" s="9" t="str">
        <f t="shared" si="9"/>
        <v>Mar</v>
      </c>
    </row>
    <row r="319" spans="1:14" x14ac:dyDescent="0.3">
      <c r="A319" s="1">
        <v>1318</v>
      </c>
      <c r="B319" s="2">
        <v>45319</v>
      </c>
      <c r="C319" s="1" t="s">
        <v>22</v>
      </c>
      <c r="D319" s="1" t="s">
        <v>23</v>
      </c>
      <c r="E319" s="1" t="s">
        <v>14</v>
      </c>
      <c r="F319" s="1" t="s">
        <v>33</v>
      </c>
      <c r="G319" s="1" t="s">
        <v>43</v>
      </c>
      <c r="H319" s="1">
        <v>7500</v>
      </c>
      <c r="I319" s="1">
        <v>1</v>
      </c>
      <c r="J319" s="1">
        <v>0.15</v>
      </c>
      <c r="K319" s="1">
        <v>6375</v>
      </c>
      <c r="L319" s="1">
        <v>1013.99</v>
      </c>
      <c r="M319" s="8">
        <f t="shared" ca="1" si="8"/>
        <v>46011.04483136574</v>
      </c>
      <c r="N319" s="9" t="str">
        <f t="shared" si="9"/>
        <v>Jan</v>
      </c>
    </row>
    <row r="320" spans="1:14" x14ac:dyDescent="0.3">
      <c r="A320" s="1">
        <v>1319</v>
      </c>
      <c r="B320" s="2">
        <v>45297</v>
      </c>
      <c r="C320" s="1" t="s">
        <v>46</v>
      </c>
      <c r="D320" s="1" t="s">
        <v>47</v>
      </c>
      <c r="E320" s="1" t="s">
        <v>32</v>
      </c>
      <c r="F320" s="1" t="s">
        <v>15</v>
      </c>
      <c r="G320" s="1" t="s">
        <v>16</v>
      </c>
      <c r="H320" s="1">
        <v>3000</v>
      </c>
      <c r="I320" s="1">
        <v>3</v>
      </c>
      <c r="J320" s="1">
        <v>0</v>
      </c>
      <c r="K320" s="1">
        <v>9000</v>
      </c>
      <c r="L320" s="1">
        <v>2920.02</v>
      </c>
      <c r="M320" s="8">
        <f t="shared" ca="1" si="8"/>
        <v>46011.04483136574</v>
      </c>
      <c r="N320" s="9" t="str">
        <f t="shared" si="9"/>
        <v>Jan</v>
      </c>
    </row>
    <row r="321" spans="1:14" x14ac:dyDescent="0.3">
      <c r="A321" s="1">
        <v>1320</v>
      </c>
      <c r="B321" s="2">
        <v>45435</v>
      </c>
      <c r="C321" s="1" t="s">
        <v>46</v>
      </c>
      <c r="D321" s="1" t="s">
        <v>47</v>
      </c>
      <c r="E321" s="1" t="s">
        <v>29</v>
      </c>
      <c r="F321" s="1" t="s">
        <v>15</v>
      </c>
      <c r="G321" s="1" t="s">
        <v>35</v>
      </c>
      <c r="H321" s="1">
        <v>55000</v>
      </c>
      <c r="I321" s="1">
        <v>1</v>
      </c>
      <c r="J321" s="1">
        <v>0.15</v>
      </c>
      <c r="K321" s="1">
        <v>46750</v>
      </c>
      <c r="L321" s="1">
        <v>13995.04</v>
      </c>
      <c r="M321" s="8">
        <f t="shared" ca="1" si="8"/>
        <v>46011.04483136574</v>
      </c>
      <c r="N321" s="9" t="str">
        <f t="shared" si="9"/>
        <v>May</v>
      </c>
    </row>
    <row r="322" spans="1:14" x14ac:dyDescent="0.3">
      <c r="A322" s="1">
        <v>1321</v>
      </c>
      <c r="B322" s="2">
        <v>45460</v>
      </c>
      <c r="C322" s="1" t="s">
        <v>41</v>
      </c>
      <c r="D322" s="1" t="s">
        <v>42</v>
      </c>
      <c r="E322" s="1" t="s">
        <v>14</v>
      </c>
      <c r="F322" s="1" t="s">
        <v>15</v>
      </c>
      <c r="G322" s="1" t="s">
        <v>35</v>
      </c>
      <c r="H322" s="1">
        <v>55000</v>
      </c>
      <c r="I322" s="1">
        <v>2</v>
      </c>
      <c r="J322" s="1">
        <v>0.15</v>
      </c>
      <c r="K322" s="1">
        <v>93500</v>
      </c>
      <c r="L322" s="1">
        <v>22844.93</v>
      </c>
      <c r="M322" s="8">
        <f t="shared" ca="1" si="8"/>
        <v>46011.04483136574</v>
      </c>
      <c r="N322" s="9" t="str">
        <f t="shared" si="9"/>
        <v>Jun</v>
      </c>
    </row>
    <row r="323" spans="1:14" x14ac:dyDescent="0.3">
      <c r="A323" s="1">
        <v>1322</v>
      </c>
      <c r="B323" s="2">
        <v>45379</v>
      </c>
      <c r="C323" s="1" t="s">
        <v>22</v>
      </c>
      <c r="D323" s="1" t="s">
        <v>23</v>
      </c>
      <c r="E323" s="1" t="s">
        <v>32</v>
      </c>
      <c r="F323" s="1" t="s">
        <v>15</v>
      </c>
      <c r="G323" s="1" t="s">
        <v>16</v>
      </c>
      <c r="H323" s="1">
        <v>3000</v>
      </c>
      <c r="I323" s="1">
        <v>2</v>
      </c>
      <c r="J323" s="1">
        <v>0.1</v>
      </c>
      <c r="K323" s="1">
        <v>5400</v>
      </c>
      <c r="L323" s="1">
        <v>1792.15</v>
      </c>
      <c r="M323" s="8">
        <f t="shared" ref="M323:M386" ca="1" si="10">NOW()</f>
        <v>46011.04483136574</v>
      </c>
      <c r="N323" s="9" t="str">
        <f t="shared" ref="N323:N386" si="11">TEXT(B323,"mmm")</f>
        <v>Mar</v>
      </c>
    </row>
    <row r="324" spans="1:14" x14ac:dyDescent="0.3">
      <c r="A324" s="1">
        <v>1323</v>
      </c>
      <c r="B324" s="2">
        <v>45374</v>
      </c>
      <c r="C324" s="1" t="s">
        <v>27</v>
      </c>
      <c r="D324" s="1" t="s">
        <v>28</v>
      </c>
      <c r="E324" s="1" t="s">
        <v>32</v>
      </c>
      <c r="F324" s="1" t="s">
        <v>33</v>
      </c>
      <c r="G324" s="1" t="s">
        <v>43</v>
      </c>
      <c r="H324" s="1">
        <v>7500</v>
      </c>
      <c r="I324" s="1">
        <v>1</v>
      </c>
      <c r="J324" s="1">
        <v>0.1</v>
      </c>
      <c r="K324" s="1">
        <v>6750</v>
      </c>
      <c r="L324" s="1">
        <v>1767.87</v>
      </c>
      <c r="M324" s="8">
        <f t="shared" ca="1" si="10"/>
        <v>46011.04483136574</v>
      </c>
      <c r="N324" s="9" t="str">
        <f t="shared" si="11"/>
        <v>Mar</v>
      </c>
    </row>
    <row r="325" spans="1:14" x14ac:dyDescent="0.3">
      <c r="A325" s="1">
        <v>1324</v>
      </c>
      <c r="B325" s="2">
        <v>45445</v>
      </c>
      <c r="C325" s="1" t="s">
        <v>30</v>
      </c>
      <c r="D325" s="1" t="s">
        <v>31</v>
      </c>
      <c r="E325" s="1" t="s">
        <v>32</v>
      </c>
      <c r="F325" s="1" t="s">
        <v>15</v>
      </c>
      <c r="G325" s="1" t="s">
        <v>44</v>
      </c>
      <c r="H325" s="1">
        <v>18000</v>
      </c>
      <c r="I325" s="1">
        <v>3</v>
      </c>
      <c r="J325" s="1">
        <v>0.1</v>
      </c>
      <c r="K325" s="1">
        <v>48600</v>
      </c>
      <c r="L325" s="1">
        <v>14962.53</v>
      </c>
      <c r="M325" s="8">
        <f t="shared" ca="1" si="10"/>
        <v>46011.04483136574</v>
      </c>
      <c r="N325" s="9" t="str">
        <f t="shared" si="11"/>
        <v>Jun</v>
      </c>
    </row>
    <row r="326" spans="1:14" x14ac:dyDescent="0.3">
      <c r="A326" s="1">
        <v>1325</v>
      </c>
      <c r="B326" s="2">
        <v>45417</v>
      </c>
      <c r="C326" s="1" t="s">
        <v>17</v>
      </c>
      <c r="D326" s="1" t="s">
        <v>18</v>
      </c>
      <c r="E326" s="1" t="s">
        <v>14</v>
      </c>
      <c r="F326" s="1" t="s">
        <v>20</v>
      </c>
      <c r="G326" s="1" t="s">
        <v>38</v>
      </c>
      <c r="H326" s="1">
        <v>350</v>
      </c>
      <c r="I326" s="1">
        <v>4</v>
      </c>
      <c r="J326" s="1">
        <v>0.05</v>
      </c>
      <c r="K326" s="1">
        <v>1330</v>
      </c>
      <c r="L326" s="1">
        <v>397.86</v>
      </c>
      <c r="M326" s="8">
        <f t="shared" ca="1" si="10"/>
        <v>46011.04483136574</v>
      </c>
      <c r="N326" s="9" t="str">
        <f t="shared" si="11"/>
        <v>May</v>
      </c>
    </row>
    <row r="327" spans="1:14" x14ac:dyDescent="0.3">
      <c r="A327" s="1">
        <v>1326</v>
      </c>
      <c r="B327" s="2">
        <v>45319</v>
      </c>
      <c r="C327" s="1" t="s">
        <v>48</v>
      </c>
      <c r="D327" s="1" t="s">
        <v>49</v>
      </c>
      <c r="E327" s="1" t="s">
        <v>19</v>
      </c>
      <c r="F327" s="1" t="s">
        <v>20</v>
      </c>
      <c r="G327" s="1" t="s">
        <v>38</v>
      </c>
      <c r="H327" s="1">
        <v>350</v>
      </c>
      <c r="I327" s="1">
        <v>3</v>
      </c>
      <c r="J327" s="1">
        <v>0.15</v>
      </c>
      <c r="K327" s="1">
        <v>892.5</v>
      </c>
      <c r="L327" s="1">
        <v>207.65</v>
      </c>
      <c r="M327" s="8">
        <f t="shared" ca="1" si="10"/>
        <v>46011.04483136574</v>
      </c>
      <c r="N327" s="9" t="str">
        <f t="shared" si="11"/>
        <v>Jan</v>
      </c>
    </row>
    <row r="328" spans="1:14" x14ac:dyDescent="0.3">
      <c r="A328" s="1">
        <v>1327</v>
      </c>
      <c r="B328" s="2">
        <v>45301</v>
      </c>
      <c r="C328" s="1" t="s">
        <v>41</v>
      </c>
      <c r="D328" s="1" t="s">
        <v>42</v>
      </c>
      <c r="E328" s="1" t="s">
        <v>32</v>
      </c>
      <c r="F328" s="1" t="s">
        <v>33</v>
      </c>
      <c r="G328" s="1" t="s">
        <v>43</v>
      </c>
      <c r="H328" s="1">
        <v>7500</v>
      </c>
      <c r="I328" s="1">
        <v>5</v>
      </c>
      <c r="J328" s="1">
        <v>0.05</v>
      </c>
      <c r="K328" s="1">
        <v>35625</v>
      </c>
      <c r="L328" s="1">
        <v>8483.33</v>
      </c>
      <c r="M328" s="8">
        <f t="shared" ca="1" si="10"/>
        <v>46011.04483136574</v>
      </c>
      <c r="N328" s="9" t="str">
        <f t="shared" si="11"/>
        <v>Jan</v>
      </c>
    </row>
    <row r="329" spans="1:14" x14ac:dyDescent="0.3">
      <c r="A329" s="1">
        <v>1328</v>
      </c>
      <c r="B329" s="2">
        <v>45468</v>
      </c>
      <c r="C329" s="1" t="s">
        <v>41</v>
      </c>
      <c r="D329" s="1" t="s">
        <v>42</v>
      </c>
      <c r="E329" s="1" t="s">
        <v>32</v>
      </c>
      <c r="F329" s="1" t="s">
        <v>33</v>
      </c>
      <c r="G329" s="1" t="s">
        <v>52</v>
      </c>
      <c r="H329" s="1">
        <v>12000</v>
      </c>
      <c r="I329" s="1">
        <v>5</v>
      </c>
      <c r="J329" s="1">
        <v>0.1</v>
      </c>
      <c r="K329" s="1">
        <v>54000</v>
      </c>
      <c r="L329" s="1">
        <v>11386.45</v>
      </c>
      <c r="M329" s="8">
        <f t="shared" ca="1" si="10"/>
        <v>46011.04483136574</v>
      </c>
      <c r="N329" s="9" t="str">
        <f t="shared" si="11"/>
        <v>Jun</v>
      </c>
    </row>
    <row r="330" spans="1:14" x14ac:dyDescent="0.3">
      <c r="A330" s="1">
        <v>1329</v>
      </c>
      <c r="B330" s="2">
        <v>45399</v>
      </c>
      <c r="C330" s="1" t="s">
        <v>22</v>
      </c>
      <c r="D330" s="1" t="s">
        <v>23</v>
      </c>
      <c r="E330" s="1" t="s">
        <v>19</v>
      </c>
      <c r="F330" s="1" t="s">
        <v>20</v>
      </c>
      <c r="G330" s="1" t="s">
        <v>38</v>
      </c>
      <c r="H330" s="1">
        <v>350</v>
      </c>
      <c r="I330" s="1">
        <v>3</v>
      </c>
      <c r="J330" s="1">
        <v>0.05</v>
      </c>
      <c r="K330" s="1">
        <v>997.5</v>
      </c>
      <c r="L330" s="1">
        <v>218.94</v>
      </c>
      <c r="M330" s="8">
        <f t="shared" ca="1" si="10"/>
        <v>46011.04483136574</v>
      </c>
      <c r="N330" s="9" t="str">
        <f t="shared" si="11"/>
        <v>Apr</v>
      </c>
    </row>
    <row r="331" spans="1:14" x14ac:dyDescent="0.3">
      <c r="A331" s="1">
        <v>1330</v>
      </c>
      <c r="B331" s="2">
        <v>45471</v>
      </c>
      <c r="C331" s="1" t="s">
        <v>46</v>
      </c>
      <c r="D331" s="1" t="s">
        <v>47</v>
      </c>
      <c r="E331" s="1" t="s">
        <v>14</v>
      </c>
      <c r="F331" s="1" t="s">
        <v>33</v>
      </c>
      <c r="G331" s="1" t="s">
        <v>52</v>
      </c>
      <c r="H331" s="1">
        <v>12000</v>
      </c>
      <c r="I331" s="1">
        <v>1</v>
      </c>
      <c r="J331" s="1">
        <v>0.05</v>
      </c>
      <c r="K331" s="1">
        <v>11400</v>
      </c>
      <c r="L331" s="1">
        <v>2345.2199999999998</v>
      </c>
      <c r="M331" s="8">
        <f t="shared" ca="1" si="10"/>
        <v>46011.04483136574</v>
      </c>
      <c r="N331" s="9" t="str">
        <f t="shared" si="11"/>
        <v>Jun</v>
      </c>
    </row>
    <row r="332" spans="1:14" x14ac:dyDescent="0.3">
      <c r="A332" s="1">
        <v>1331</v>
      </c>
      <c r="B332" s="2">
        <v>45407</v>
      </c>
      <c r="C332" s="1" t="s">
        <v>48</v>
      </c>
      <c r="D332" s="1" t="s">
        <v>49</v>
      </c>
      <c r="E332" s="1" t="s">
        <v>19</v>
      </c>
      <c r="F332" s="1" t="s">
        <v>20</v>
      </c>
      <c r="G332" s="1" t="s">
        <v>45</v>
      </c>
      <c r="H332" s="1">
        <v>500</v>
      </c>
      <c r="I332" s="1">
        <v>2</v>
      </c>
      <c r="J332" s="1">
        <v>0</v>
      </c>
      <c r="K332" s="1">
        <v>1000</v>
      </c>
      <c r="L332" s="1">
        <v>219.64</v>
      </c>
      <c r="M332" s="8">
        <f t="shared" ca="1" si="10"/>
        <v>46011.04483136574</v>
      </c>
      <c r="N332" s="9" t="str">
        <f t="shared" si="11"/>
        <v>Apr</v>
      </c>
    </row>
    <row r="333" spans="1:14" x14ac:dyDescent="0.3">
      <c r="A333" s="1">
        <v>1332</v>
      </c>
      <c r="B333" s="2">
        <v>45365</v>
      </c>
      <c r="C333" s="1" t="s">
        <v>46</v>
      </c>
      <c r="D333" s="1" t="s">
        <v>47</v>
      </c>
      <c r="E333" s="1" t="s">
        <v>19</v>
      </c>
      <c r="F333" s="1" t="s">
        <v>15</v>
      </c>
      <c r="G333" s="1" t="s">
        <v>35</v>
      </c>
      <c r="H333" s="1">
        <v>55000</v>
      </c>
      <c r="I333" s="1">
        <v>1</v>
      </c>
      <c r="J333" s="1">
        <v>0.15</v>
      </c>
      <c r="K333" s="1">
        <v>46750</v>
      </c>
      <c r="L333" s="1">
        <v>10749.7</v>
      </c>
      <c r="M333" s="8">
        <f t="shared" ca="1" si="10"/>
        <v>46011.04483136574</v>
      </c>
      <c r="N333" s="9" t="str">
        <f t="shared" si="11"/>
        <v>Mar</v>
      </c>
    </row>
    <row r="334" spans="1:14" x14ac:dyDescent="0.3">
      <c r="A334" s="1">
        <v>1333</v>
      </c>
      <c r="B334" s="2">
        <v>45382</v>
      </c>
      <c r="C334" s="1" t="s">
        <v>17</v>
      </c>
      <c r="D334" s="1" t="s">
        <v>18</v>
      </c>
      <c r="E334" s="1" t="s">
        <v>32</v>
      </c>
      <c r="F334" s="1" t="s">
        <v>33</v>
      </c>
      <c r="G334" s="1" t="s">
        <v>43</v>
      </c>
      <c r="H334" s="1">
        <v>7500</v>
      </c>
      <c r="I334" s="1">
        <v>1</v>
      </c>
      <c r="J334" s="1">
        <v>0.1</v>
      </c>
      <c r="K334" s="1">
        <v>6750</v>
      </c>
      <c r="L334" s="1">
        <v>1020.12</v>
      </c>
      <c r="M334" s="8">
        <f t="shared" ca="1" si="10"/>
        <v>46011.04483136574</v>
      </c>
      <c r="N334" s="9" t="str">
        <f t="shared" si="11"/>
        <v>Mar</v>
      </c>
    </row>
    <row r="335" spans="1:14" x14ac:dyDescent="0.3">
      <c r="A335" s="1">
        <v>1334</v>
      </c>
      <c r="B335" s="2">
        <v>45314</v>
      </c>
      <c r="C335" s="1" t="s">
        <v>22</v>
      </c>
      <c r="D335" s="1" t="s">
        <v>23</v>
      </c>
      <c r="E335" s="1" t="s">
        <v>29</v>
      </c>
      <c r="F335" s="1" t="s">
        <v>33</v>
      </c>
      <c r="G335" s="1" t="s">
        <v>43</v>
      </c>
      <c r="H335" s="1">
        <v>7500</v>
      </c>
      <c r="I335" s="1">
        <v>1</v>
      </c>
      <c r="J335" s="1">
        <v>0</v>
      </c>
      <c r="K335" s="1">
        <v>7500</v>
      </c>
      <c r="L335" s="1">
        <v>1960.97</v>
      </c>
      <c r="M335" s="8">
        <f t="shared" ca="1" si="10"/>
        <v>46011.04483136574</v>
      </c>
      <c r="N335" s="9" t="str">
        <f t="shared" si="11"/>
        <v>Jan</v>
      </c>
    </row>
    <row r="336" spans="1:14" x14ac:dyDescent="0.3">
      <c r="A336" s="1">
        <v>1335</v>
      </c>
      <c r="B336" s="2">
        <v>45302</v>
      </c>
      <c r="C336" s="1" t="s">
        <v>36</v>
      </c>
      <c r="D336" s="1" t="s">
        <v>37</v>
      </c>
      <c r="E336" s="1" t="s">
        <v>19</v>
      </c>
      <c r="F336" s="1" t="s">
        <v>33</v>
      </c>
      <c r="G336" s="1" t="s">
        <v>43</v>
      </c>
      <c r="H336" s="1">
        <v>7500</v>
      </c>
      <c r="I336" s="1">
        <v>4</v>
      </c>
      <c r="J336" s="1">
        <v>0.05</v>
      </c>
      <c r="K336" s="1">
        <v>28500</v>
      </c>
      <c r="L336" s="1">
        <v>6851.84</v>
      </c>
      <c r="M336" s="8">
        <f t="shared" ca="1" si="10"/>
        <v>46011.04483136574</v>
      </c>
      <c r="N336" s="9" t="str">
        <f t="shared" si="11"/>
        <v>Jan</v>
      </c>
    </row>
    <row r="337" spans="1:14" x14ac:dyDescent="0.3">
      <c r="A337" s="1">
        <v>1336</v>
      </c>
      <c r="B337" s="2">
        <v>45404</v>
      </c>
      <c r="C337" s="1" t="s">
        <v>36</v>
      </c>
      <c r="D337" s="1" t="s">
        <v>37</v>
      </c>
      <c r="E337" s="1" t="s">
        <v>32</v>
      </c>
      <c r="F337" s="1" t="s">
        <v>20</v>
      </c>
      <c r="G337" s="1" t="s">
        <v>21</v>
      </c>
      <c r="H337" s="1">
        <v>200</v>
      </c>
      <c r="I337" s="1">
        <v>1</v>
      </c>
      <c r="J337" s="1">
        <v>0.15</v>
      </c>
      <c r="K337" s="1">
        <v>170</v>
      </c>
      <c r="L337" s="1">
        <v>36.270000000000003</v>
      </c>
      <c r="M337" s="8">
        <f t="shared" ca="1" si="10"/>
        <v>46011.04483136574</v>
      </c>
      <c r="N337" s="9" t="str">
        <f t="shared" si="11"/>
        <v>Apr</v>
      </c>
    </row>
    <row r="338" spans="1:14" x14ac:dyDescent="0.3">
      <c r="A338" s="1">
        <v>1337</v>
      </c>
      <c r="B338" s="2">
        <v>45352</v>
      </c>
      <c r="C338" s="1" t="s">
        <v>22</v>
      </c>
      <c r="D338" s="1" t="s">
        <v>23</v>
      </c>
      <c r="E338" s="1" t="s">
        <v>14</v>
      </c>
      <c r="F338" s="1" t="s">
        <v>15</v>
      </c>
      <c r="G338" s="1" t="s">
        <v>16</v>
      </c>
      <c r="H338" s="1">
        <v>3000</v>
      </c>
      <c r="I338" s="1">
        <v>2</v>
      </c>
      <c r="J338" s="1">
        <v>0</v>
      </c>
      <c r="K338" s="1">
        <v>6000</v>
      </c>
      <c r="L338" s="1">
        <v>1691.47</v>
      </c>
      <c r="M338" s="8">
        <f t="shared" ca="1" si="10"/>
        <v>46011.04483136574</v>
      </c>
      <c r="N338" s="9" t="str">
        <f t="shared" si="11"/>
        <v>Mar</v>
      </c>
    </row>
    <row r="339" spans="1:14" x14ac:dyDescent="0.3">
      <c r="A339" s="1">
        <v>1338</v>
      </c>
      <c r="B339" s="2">
        <v>45366</v>
      </c>
      <c r="C339" s="1" t="s">
        <v>48</v>
      </c>
      <c r="D339" s="1" t="s">
        <v>49</v>
      </c>
      <c r="E339" s="1" t="s">
        <v>14</v>
      </c>
      <c r="F339" s="1" t="s">
        <v>20</v>
      </c>
      <c r="G339" s="1" t="s">
        <v>38</v>
      </c>
      <c r="H339" s="1">
        <v>350</v>
      </c>
      <c r="I339" s="1">
        <v>4</v>
      </c>
      <c r="J339" s="1">
        <v>0</v>
      </c>
      <c r="K339" s="1">
        <v>1400</v>
      </c>
      <c r="L339" s="1">
        <v>229.3</v>
      </c>
      <c r="M339" s="8">
        <f t="shared" ca="1" si="10"/>
        <v>46011.04483136574</v>
      </c>
      <c r="N339" s="9" t="str">
        <f t="shared" si="11"/>
        <v>Mar</v>
      </c>
    </row>
    <row r="340" spans="1:14" x14ac:dyDescent="0.3">
      <c r="A340" s="1">
        <v>1339</v>
      </c>
      <c r="B340" s="2">
        <v>45361</v>
      </c>
      <c r="C340" s="1" t="s">
        <v>39</v>
      </c>
      <c r="D340" s="1" t="s">
        <v>40</v>
      </c>
      <c r="E340" s="1" t="s">
        <v>19</v>
      </c>
      <c r="F340" s="1" t="s">
        <v>33</v>
      </c>
      <c r="G340" s="1" t="s">
        <v>52</v>
      </c>
      <c r="H340" s="1">
        <v>12000</v>
      </c>
      <c r="I340" s="1">
        <v>1</v>
      </c>
      <c r="J340" s="1">
        <v>0.1</v>
      </c>
      <c r="K340" s="1">
        <v>10800</v>
      </c>
      <c r="L340" s="1">
        <v>1642.99</v>
      </c>
      <c r="M340" s="8">
        <f t="shared" ca="1" si="10"/>
        <v>46011.04483136574</v>
      </c>
      <c r="N340" s="9" t="str">
        <f t="shared" si="11"/>
        <v>Mar</v>
      </c>
    </row>
    <row r="341" spans="1:14" x14ac:dyDescent="0.3">
      <c r="A341" s="1">
        <v>1340</v>
      </c>
      <c r="B341" s="2">
        <v>45453</v>
      </c>
      <c r="C341" s="1" t="s">
        <v>25</v>
      </c>
      <c r="D341" s="1" t="s">
        <v>26</v>
      </c>
      <c r="E341" s="1" t="s">
        <v>19</v>
      </c>
      <c r="F341" s="1" t="s">
        <v>15</v>
      </c>
      <c r="G341" s="1" t="s">
        <v>44</v>
      </c>
      <c r="H341" s="1">
        <v>18000</v>
      </c>
      <c r="I341" s="1">
        <v>4</v>
      </c>
      <c r="J341" s="1">
        <v>0.15</v>
      </c>
      <c r="K341" s="1">
        <v>61200</v>
      </c>
      <c r="L341" s="1">
        <v>20149.990000000002</v>
      </c>
      <c r="M341" s="8">
        <f t="shared" ca="1" si="10"/>
        <v>46011.04483136574</v>
      </c>
      <c r="N341" s="9" t="str">
        <f t="shared" si="11"/>
        <v>Jun</v>
      </c>
    </row>
    <row r="342" spans="1:14" x14ac:dyDescent="0.3">
      <c r="A342" s="1">
        <v>1341</v>
      </c>
      <c r="B342" s="2">
        <v>45446</v>
      </c>
      <c r="C342" s="1" t="s">
        <v>39</v>
      </c>
      <c r="D342" s="1" t="s">
        <v>40</v>
      </c>
      <c r="E342" s="1" t="s">
        <v>14</v>
      </c>
      <c r="F342" s="1" t="s">
        <v>33</v>
      </c>
      <c r="G342" s="1" t="s">
        <v>52</v>
      </c>
      <c r="H342" s="1">
        <v>12000</v>
      </c>
      <c r="I342" s="1">
        <v>2</v>
      </c>
      <c r="J342" s="1">
        <v>0.1</v>
      </c>
      <c r="K342" s="1">
        <v>21600</v>
      </c>
      <c r="L342" s="1">
        <v>3609.65</v>
      </c>
      <c r="M342" s="8">
        <f t="shared" ca="1" si="10"/>
        <v>46011.04483136574</v>
      </c>
      <c r="N342" s="9" t="str">
        <f t="shared" si="11"/>
        <v>Jun</v>
      </c>
    </row>
    <row r="343" spans="1:14" x14ac:dyDescent="0.3">
      <c r="A343" s="1">
        <v>1342</v>
      </c>
      <c r="B343" s="2">
        <v>45366</v>
      </c>
      <c r="C343" s="1" t="s">
        <v>39</v>
      </c>
      <c r="D343" s="1" t="s">
        <v>40</v>
      </c>
      <c r="E343" s="1" t="s">
        <v>14</v>
      </c>
      <c r="F343" s="1" t="s">
        <v>20</v>
      </c>
      <c r="G343" s="1" t="s">
        <v>21</v>
      </c>
      <c r="H343" s="1">
        <v>200</v>
      </c>
      <c r="I343" s="1">
        <v>3</v>
      </c>
      <c r="J343" s="1">
        <v>0.05</v>
      </c>
      <c r="K343" s="1">
        <v>570</v>
      </c>
      <c r="L343" s="1">
        <v>120.81</v>
      </c>
      <c r="M343" s="8">
        <f t="shared" ca="1" si="10"/>
        <v>46011.04483136574</v>
      </c>
      <c r="N343" s="9" t="str">
        <f t="shared" si="11"/>
        <v>Mar</v>
      </c>
    </row>
    <row r="344" spans="1:14" x14ac:dyDescent="0.3">
      <c r="A344" s="1">
        <v>1343</v>
      </c>
      <c r="B344" s="2">
        <v>45456</v>
      </c>
      <c r="C344" s="1" t="s">
        <v>12</v>
      </c>
      <c r="D344" s="1" t="s">
        <v>13</v>
      </c>
      <c r="E344" s="1" t="s">
        <v>19</v>
      </c>
      <c r="F344" s="1" t="s">
        <v>15</v>
      </c>
      <c r="G344" s="1" t="s">
        <v>44</v>
      </c>
      <c r="H344" s="1">
        <v>18000</v>
      </c>
      <c r="I344" s="1">
        <v>1</v>
      </c>
      <c r="J344" s="1">
        <v>0.15</v>
      </c>
      <c r="K344" s="1">
        <v>15300</v>
      </c>
      <c r="L344" s="1">
        <v>3811.85</v>
      </c>
      <c r="M344" s="8">
        <f t="shared" ca="1" si="10"/>
        <v>46011.04483136574</v>
      </c>
      <c r="N344" s="9" t="str">
        <f t="shared" si="11"/>
        <v>Jun</v>
      </c>
    </row>
    <row r="345" spans="1:14" x14ac:dyDescent="0.3">
      <c r="A345" s="1">
        <v>1344</v>
      </c>
      <c r="B345" s="2">
        <v>45451</v>
      </c>
      <c r="C345" s="1" t="s">
        <v>25</v>
      </c>
      <c r="D345" s="1" t="s">
        <v>26</v>
      </c>
      <c r="E345" s="1" t="s">
        <v>14</v>
      </c>
      <c r="F345" s="1" t="s">
        <v>33</v>
      </c>
      <c r="G345" s="1" t="s">
        <v>34</v>
      </c>
      <c r="H345" s="1">
        <v>9500</v>
      </c>
      <c r="I345" s="1">
        <v>4</v>
      </c>
      <c r="J345" s="1">
        <v>0.15</v>
      </c>
      <c r="K345" s="1">
        <v>32300</v>
      </c>
      <c r="L345" s="1">
        <v>9349.93</v>
      </c>
      <c r="M345" s="8">
        <f t="shared" ca="1" si="10"/>
        <v>46011.04483136574</v>
      </c>
      <c r="N345" s="9" t="str">
        <f t="shared" si="11"/>
        <v>Jun</v>
      </c>
    </row>
    <row r="346" spans="1:14" x14ac:dyDescent="0.3">
      <c r="A346" s="1">
        <v>1345</v>
      </c>
      <c r="B346" s="2">
        <v>45340</v>
      </c>
      <c r="C346" s="1" t="s">
        <v>39</v>
      </c>
      <c r="D346" s="1" t="s">
        <v>40</v>
      </c>
      <c r="E346" s="1" t="s">
        <v>32</v>
      </c>
      <c r="F346" s="1" t="s">
        <v>15</v>
      </c>
      <c r="G346" s="1" t="s">
        <v>16</v>
      </c>
      <c r="H346" s="1">
        <v>3000</v>
      </c>
      <c r="I346" s="1">
        <v>1</v>
      </c>
      <c r="J346" s="1">
        <v>0.1</v>
      </c>
      <c r="K346" s="1">
        <v>2700</v>
      </c>
      <c r="L346" s="1">
        <v>847.99</v>
      </c>
      <c r="M346" s="8">
        <f t="shared" ca="1" si="10"/>
        <v>46011.04483136574</v>
      </c>
      <c r="N346" s="9" t="str">
        <f t="shared" si="11"/>
        <v>Feb</v>
      </c>
    </row>
    <row r="347" spans="1:14" x14ac:dyDescent="0.3">
      <c r="A347" s="1">
        <v>1346</v>
      </c>
      <c r="B347" s="2">
        <v>45435</v>
      </c>
      <c r="C347" s="1" t="s">
        <v>41</v>
      </c>
      <c r="D347" s="1" t="s">
        <v>42</v>
      </c>
      <c r="E347" s="1" t="s">
        <v>14</v>
      </c>
      <c r="F347" s="1" t="s">
        <v>33</v>
      </c>
      <c r="G347" s="1" t="s">
        <v>52</v>
      </c>
      <c r="H347" s="1">
        <v>12000</v>
      </c>
      <c r="I347" s="1">
        <v>4</v>
      </c>
      <c r="J347" s="1">
        <v>0.15</v>
      </c>
      <c r="K347" s="1">
        <v>40800</v>
      </c>
      <c r="L347" s="1">
        <v>7667.05</v>
      </c>
      <c r="M347" s="8">
        <f t="shared" ca="1" si="10"/>
        <v>46011.04483136574</v>
      </c>
      <c r="N347" s="9" t="str">
        <f t="shared" si="11"/>
        <v>May</v>
      </c>
    </row>
    <row r="348" spans="1:14" x14ac:dyDescent="0.3">
      <c r="A348" s="1">
        <v>1347</v>
      </c>
      <c r="B348" s="2">
        <v>45448</v>
      </c>
      <c r="C348" s="1" t="s">
        <v>46</v>
      </c>
      <c r="D348" s="1" t="s">
        <v>47</v>
      </c>
      <c r="E348" s="1" t="s">
        <v>19</v>
      </c>
      <c r="F348" s="1" t="s">
        <v>33</v>
      </c>
      <c r="G348" s="1" t="s">
        <v>43</v>
      </c>
      <c r="H348" s="1">
        <v>7500</v>
      </c>
      <c r="I348" s="1">
        <v>1</v>
      </c>
      <c r="J348" s="1">
        <v>0</v>
      </c>
      <c r="K348" s="1">
        <v>7500</v>
      </c>
      <c r="L348" s="1">
        <v>2542.02</v>
      </c>
      <c r="M348" s="8">
        <f t="shared" ca="1" si="10"/>
        <v>46011.04483136574</v>
      </c>
      <c r="N348" s="9" t="str">
        <f t="shared" si="11"/>
        <v>Jun</v>
      </c>
    </row>
    <row r="349" spans="1:14" x14ac:dyDescent="0.3">
      <c r="A349" s="1">
        <v>1348</v>
      </c>
      <c r="B349" s="2">
        <v>45389</v>
      </c>
      <c r="C349" s="1" t="s">
        <v>46</v>
      </c>
      <c r="D349" s="1" t="s">
        <v>47</v>
      </c>
      <c r="E349" s="1" t="s">
        <v>29</v>
      </c>
      <c r="F349" s="1" t="s">
        <v>33</v>
      </c>
      <c r="G349" s="1" t="s">
        <v>43</v>
      </c>
      <c r="H349" s="1">
        <v>7500</v>
      </c>
      <c r="I349" s="1">
        <v>2</v>
      </c>
      <c r="J349" s="1">
        <v>0</v>
      </c>
      <c r="K349" s="1">
        <v>15000</v>
      </c>
      <c r="L349" s="1">
        <v>5190.6099999999997</v>
      </c>
      <c r="M349" s="8">
        <f t="shared" ca="1" si="10"/>
        <v>46011.04483136574</v>
      </c>
      <c r="N349" s="9" t="str">
        <f t="shared" si="11"/>
        <v>Apr</v>
      </c>
    </row>
    <row r="350" spans="1:14" x14ac:dyDescent="0.3">
      <c r="A350" s="1">
        <v>1349</v>
      </c>
      <c r="B350" s="2">
        <v>45362</v>
      </c>
      <c r="C350" s="1" t="s">
        <v>46</v>
      </c>
      <c r="D350" s="1" t="s">
        <v>47</v>
      </c>
      <c r="E350" s="1" t="s">
        <v>19</v>
      </c>
      <c r="F350" s="1" t="s">
        <v>33</v>
      </c>
      <c r="G350" s="1" t="s">
        <v>43</v>
      </c>
      <c r="H350" s="1">
        <v>7500</v>
      </c>
      <c r="I350" s="1">
        <v>1</v>
      </c>
      <c r="J350" s="1">
        <v>0</v>
      </c>
      <c r="K350" s="1">
        <v>7500</v>
      </c>
      <c r="L350" s="1">
        <v>2252.79</v>
      </c>
      <c r="M350" s="8">
        <f t="shared" ca="1" si="10"/>
        <v>46011.04483136574</v>
      </c>
      <c r="N350" s="9" t="str">
        <f t="shared" si="11"/>
        <v>Mar</v>
      </c>
    </row>
    <row r="351" spans="1:14" x14ac:dyDescent="0.3">
      <c r="A351" s="1">
        <v>1350</v>
      </c>
      <c r="B351" s="2">
        <v>45393</v>
      </c>
      <c r="C351" s="1" t="s">
        <v>25</v>
      </c>
      <c r="D351" s="1" t="s">
        <v>26</v>
      </c>
      <c r="E351" s="1" t="s">
        <v>32</v>
      </c>
      <c r="F351" s="1" t="s">
        <v>15</v>
      </c>
      <c r="G351" s="1" t="s">
        <v>16</v>
      </c>
      <c r="H351" s="1">
        <v>3000</v>
      </c>
      <c r="I351" s="1">
        <v>2</v>
      </c>
      <c r="J351" s="1">
        <v>0.1</v>
      </c>
      <c r="K351" s="1">
        <v>5400</v>
      </c>
      <c r="L351" s="1">
        <v>1427.81</v>
      </c>
      <c r="M351" s="8">
        <f t="shared" ca="1" si="10"/>
        <v>46011.04483136574</v>
      </c>
      <c r="N351" s="9" t="str">
        <f t="shared" si="11"/>
        <v>Apr</v>
      </c>
    </row>
    <row r="352" spans="1:14" x14ac:dyDescent="0.3">
      <c r="A352" s="1">
        <v>1351</v>
      </c>
      <c r="B352" s="2">
        <v>45390</v>
      </c>
      <c r="C352" s="1" t="s">
        <v>12</v>
      </c>
      <c r="D352" s="1" t="s">
        <v>13</v>
      </c>
      <c r="E352" s="1" t="s">
        <v>29</v>
      </c>
      <c r="F352" s="1" t="s">
        <v>33</v>
      </c>
      <c r="G352" s="1" t="s">
        <v>43</v>
      </c>
      <c r="H352" s="1">
        <v>7500</v>
      </c>
      <c r="I352" s="1">
        <v>5</v>
      </c>
      <c r="J352" s="1">
        <v>0</v>
      </c>
      <c r="K352" s="1">
        <v>37500</v>
      </c>
      <c r="L352" s="1">
        <v>11797.38</v>
      </c>
      <c r="M352" s="8">
        <f t="shared" ca="1" si="10"/>
        <v>46011.04483136574</v>
      </c>
      <c r="N352" s="9" t="str">
        <f t="shared" si="11"/>
        <v>Apr</v>
      </c>
    </row>
    <row r="353" spans="1:14" x14ac:dyDescent="0.3">
      <c r="A353" s="1">
        <v>1352</v>
      </c>
      <c r="B353" s="2">
        <v>45328</v>
      </c>
      <c r="C353" s="1" t="s">
        <v>46</v>
      </c>
      <c r="D353" s="1" t="s">
        <v>47</v>
      </c>
      <c r="E353" s="1" t="s">
        <v>32</v>
      </c>
      <c r="F353" s="1" t="s">
        <v>15</v>
      </c>
      <c r="G353" s="1" t="s">
        <v>16</v>
      </c>
      <c r="H353" s="1">
        <v>3000</v>
      </c>
      <c r="I353" s="1">
        <v>5</v>
      </c>
      <c r="J353" s="1">
        <v>0</v>
      </c>
      <c r="K353" s="1">
        <v>15000</v>
      </c>
      <c r="L353" s="1">
        <v>2986.23</v>
      </c>
      <c r="M353" s="8">
        <f t="shared" ca="1" si="10"/>
        <v>46011.04483136574</v>
      </c>
      <c r="N353" s="9" t="str">
        <f t="shared" si="11"/>
        <v>Feb</v>
      </c>
    </row>
    <row r="354" spans="1:14" x14ac:dyDescent="0.3">
      <c r="A354" s="1">
        <v>1353</v>
      </c>
      <c r="B354" s="2">
        <v>45378</v>
      </c>
      <c r="C354" s="1" t="s">
        <v>22</v>
      </c>
      <c r="D354" s="1" t="s">
        <v>23</v>
      </c>
      <c r="E354" s="1" t="s">
        <v>19</v>
      </c>
      <c r="F354" s="1" t="s">
        <v>20</v>
      </c>
      <c r="G354" s="1" t="s">
        <v>45</v>
      </c>
      <c r="H354" s="1">
        <v>500</v>
      </c>
      <c r="I354" s="1">
        <v>4</v>
      </c>
      <c r="J354" s="1">
        <v>0.15</v>
      </c>
      <c r="K354" s="1">
        <v>1700</v>
      </c>
      <c r="L354" s="1">
        <v>312.76</v>
      </c>
      <c r="M354" s="8">
        <f t="shared" ca="1" si="10"/>
        <v>46011.04483136574</v>
      </c>
      <c r="N354" s="9" t="str">
        <f t="shared" si="11"/>
        <v>Mar</v>
      </c>
    </row>
    <row r="355" spans="1:14" x14ac:dyDescent="0.3">
      <c r="A355" s="1">
        <v>1354</v>
      </c>
      <c r="B355" s="2">
        <v>45360</v>
      </c>
      <c r="C355" s="1" t="s">
        <v>17</v>
      </c>
      <c r="D355" s="1" t="s">
        <v>18</v>
      </c>
      <c r="E355" s="1" t="s">
        <v>19</v>
      </c>
      <c r="F355" s="1" t="s">
        <v>15</v>
      </c>
      <c r="G355" s="1" t="s">
        <v>44</v>
      </c>
      <c r="H355" s="1">
        <v>18000</v>
      </c>
      <c r="I355" s="1">
        <v>1</v>
      </c>
      <c r="J355" s="1">
        <v>0.05</v>
      </c>
      <c r="K355" s="1">
        <v>17100</v>
      </c>
      <c r="L355" s="1">
        <v>2640.31</v>
      </c>
      <c r="M355" s="8">
        <f t="shared" ca="1" si="10"/>
        <v>46011.04483136574</v>
      </c>
      <c r="N355" s="9" t="str">
        <f t="shared" si="11"/>
        <v>Mar</v>
      </c>
    </row>
    <row r="356" spans="1:14" x14ac:dyDescent="0.3">
      <c r="A356" s="1">
        <v>1355</v>
      </c>
      <c r="B356" s="2">
        <v>45397</v>
      </c>
      <c r="C356" s="1" t="s">
        <v>30</v>
      </c>
      <c r="D356" s="1" t="s">
        <v>31</v>
      </c>
      <c r="E356" s="1" t="s">
        <v>29</v>
      </c>
      <c r="F356" s="1" t="s">
        <v>33</v>
      </c>
      <c r="G356" s="1" t="s">
        <v>43</v>
      </c>
      <c r="H356" s="1">
        <v>7500</v>
      </c>
      <c r="I356" s="1">
        <v>3</v>
      </c>
      <c r="J356" s="1">
        <v>0.15</v>
      </c>
      <c r="K356" s="1">
        <v>19125</v>
      </c>
      <c r="L356" s="1">
        <v>5454.73</v>
      </c>
      <c r="M356" s="8">
        <f t="shared" ca="1" si="10"/>
        <v>46011.04483136574</v>
      </c>
      <c r="N356" s="9" t="str">
        <f t="shared" si="11"/>
        <v>Apr</v>
      </c>
    </row>
    <row r="357" spans="1:14" x14ac:dyDescent="0.3">
      <c r="A357" s="1">
        <v>1356</v>
      </c>
      <c r="B357" s="2">
        <v>45457</v>
      </c>
      <c r="C357" s="1" t="s">
        <v>39</v>
      </c>
      <c r="D357" s="1" t="s">
        <v>40</v>
      </c>
      <c r="E357" s="1" t="s">
        <v>32</v>
      </c>
      <c r="F357" s="1" t="s">
        <v>15</v>
      </c>
      <c r="G357" s="1" t="s">
        <v>24</v>
      </c>
      <c r="H357" s="1">
        <v>22000</v>
      </c>
      <c r="I357" s="1">
        <v>4</v>
      </c>
      <c r="J357" s="1">
        <v>0.15</v>
      </c>
      <c r="K357" s="1">
        <v>74800</v>
      </c>
      <c r="L357" s="1">
        <v>19158.509999999998</v>
      </c>
      <c r="M357" s="8">
        <f t="shared" ca="1" si="10"/>
        <v>46011.04483136574</v>
      </c>
      <c r="N357" s="9" t="str">
        <f t="shared" si="11"/>
        <v>Jun</v>
      </c>
    </row>
    <row r="358" spans="1:14" x14ac:dyDescent="0.3">
      <c r="A358" s="1">
        <v>1357</v>
      </c>
      <c r="B358" s="2">
        <v>45409</v>
      </c>
      <c r="C358" s="1" t="s">
        <v>17</v>
      </c>
      <c r="D358" s="1" t="s">
        <v>18</v>
      </c>
      <c r="E358" s="1" t="s">
        <v>14</v>
      </c>
      <c r="F358" s="1" t="s">
        <v>15</v>
      </c>
      <c r="G358" s="1" t="s">
        <v>35</v>
      </c>
      <c r="H358" s="1">
        <v>55000</v>
      </c>
      <c r="I358" s="1">
        <v>3</v>
      </c>
      <c r="J358" s="1">
        <v>0.05</v>
      </c>
      <c r="K358" s="1">
        <v>156750</v>
      </c>
      <c r="L358" s="1">
        <v>37887.61</v>
      </c>
      <c r="M358" s="8">
        <f t="shared" ca="1" si="10"/>
        <v>46011.04483136574</v>
      </c>
      <c r="N358" s="9" t="str">
        <f t="shared" si="11"/>
        <v>Apr</v>
      </c>
    </row>
    <row r="359" spans="1:14" x14ac:dyDescent="0.3">
      <c r="A359" s="1">
        <v>1358</v>
      </c>
      <c r="B359" s="2">
        <v>45303</v>
      </c>
      <c r="C359" s="1" t="s">
        <v>48</v>
      </c>
      <c r="D359" s="1" t="s">
        <v>49</v>
      </c>
      <c r="E359" s="1" t="s">
        <v>19</v>
      </c>
      <c r="F359" s="1" t="s">
        <v>15</v>
      </c>
      <c r="G359" s="1" t="s">
        <v>35</v>
      </c>
      <c r="H359" s="1">
        <v>55000</v>
      </c>
      <c r="I359" s="1">
        <v>4</v>
      </c>
      <c r="J359" s="1">
        <v>0</v>
      </c>
      <c r="K359" s="1">
        <v>220000</v>
      </c>
      <c r="L359" s="1">
        <v>36173.699999999997</v>
      </c>
      <c r="M359" s="8">
        <f t="shared" ca="1" si="10"/>
        <v>46011.04483136574</v>
      </c>
      <c r="N359" s="9" t="str">
        <f t="shared" si="11"/>
        <v>Jan</v>
      </c>
    </row>
    <row r="360" spans="1:14" x14ac:dyDescent="0.3">
      <c r="A360" s="1">
        <v>1359</v>
      </c>
      <c r="B360" s="2">
        <v>45438</v>
      </c>
      <c r="C360" s="1" t="s">
        <v>39</v>
      </c>
      <c r="D360" s="1" t="s">
        <v>40</v>
      </c>
      <c r="E360" s="1" t="s">
        <v>32</v>
      </c>
      <c r="F360" s="1" t="s">
        <v>33</v>
      </c>
      <c r="G360" s="1" t="s">
        <v>52</v>
      </c>
      <c r="H360" s="1">
        <v>12000</v>
      </c>
      <c r="I360" s="1">
        <v>1</v>
      </c>
      <c r="J360" s="1">
        <v>0.1</v>
      </c>
      <c r="K360" s="1">
        <v>10800</v>
      </c>
      <c r="L360" s="1">
        <v>2219.7399999999998</v>
      </c>
      <c r="M360" s="8">
        <f t="shared" ca="1" si="10"/>
        <v>46011.04483136574</v>
      </c>
      <c r="N360" s="9" t="str">
        <f t="shared" si="11"/>
        <v>May</v>
      </c>
    </row>
    <row r="361" spans="1:14" x14ac:dyDescent="0.3">
      <c r="A361" s="1">
        <v>1360</v>
      </c>
      <c r="B361" s="2">
        <v>45297</v>
      </c>
      <c r="C361" s="1" t="s">
        <v>17</v>
      </c>
      <c r="D361" s="1" t="s">
        <v>18</v>
      </c>
      <c r="E361" s="1" t="s">
        <v>14</v>
      </c>
      <c r="F361" s="1" t="s">
        <v>33</v>
      </c>
      <c r="G361" s="1" t="s">
        <v>34</v>
      </c>
      <c r="H361" s="1">
        <v>9500</v>
      </c>
      <c r="I361" s="1">
        <v>1</v>
      </c>
      <c r="J361" s="1">
        <v>0.15</v>
      </c>
      <c r="K361" s="1">
        <v>8075</v>
      </c>
      <c r="L361" s="1">
        <v>2555.27</v>
      </c>
      <c r="M361" s="8">
        <f t="shared" ca="1" si="10"/>
        <v>46011.04483136574</v>
      </c>
      <c r="N361" s="9" t="str">
        <f t="shared" si="11"/>
        <v>Jan</v>
      </c>
    </row>
    <row r="362" spans="1:14" x14ac:dyDescent="0.3">
      <c r="A362" s="1">
        <v>1361</v>
      </c>
      <c r="B362" s="2">
        <v>45378</v>
      </c>
      <c r="C362" s="1" t="s">
        <v>39</v>
      </c>
      <c r="D362" s="1" t="s">
        <v>40</v>
      </c>
      <c r="E362" s="1" t="s">
        <v>19</v>
      </c>
      <c r="F362" s="1" t="s">
        <v>33</v>
      </c>
      <c r="G362" s="1" t="s">
        <v>52</v>
      </c>
      <c r="H362" s="1">
        <v>12000</v>
      </c>
      <c r="I362" s="1">
        <v>1</v>
      </c>
      <c r="J362" s="1">
        <v>0.15</v>
      </c>
      <c r="K362" s="1">
        <v>10200</v>
      </c>
      <c r="L362" s="1">
        <v>1626.68</v>
      </c>
      <c r="M362" s="8">
        <f t="shared" ca="1" si="10"/>
        <v>46011.04483136574</v>
      </c>
      <c r="N362" s="9" t="str">
        <f t="shared" si="11"/>
        <v>Mar</v>
      </c>
    </row>
    <row r="363" spans="1:14" x14ac:dyDescent="0.3">
      <c r="A363" s="1">
        <v>1362</v>
      </c>
      <c r="B363" s="2">
        <v>45369</v>
      </c>
      <c r="C363" s="1" t="s">
        <v>48</v>
      </c>
      <c r="D363" s="1" t="s">
        <v>49</v>
      </c>
      <c r="E363" s="1" t="s">
        <v>19</v>
      </c>
      <c r="F363" s="1" t="s">
        <v>15</v>
      </c>
      <c r="G363" s="1" t="s">
        <v>44</v>
      </c>
      <c r="H363" s="1">
        <v>18000</v>
      </c>
      <c r="I363" s="1">
        <v>5</v>
      </c>
      <c r="J363" s="1">
        <v>0.05</v>
      </c>
      <c r="K363" s="1">
        <v>85500</v>
      </c>
      <c r="L363" s="1">
        <v>16739.03</v>
      </c>
      <c r="M363" s="8">
        <f t="shared" ca="1" si="10"/>
        <v>46011.04483136574</v>
      </c>
      <c r="N363" s="9" t="str">
        <f t="shared" si="11"/>
        <v>Mar</v>
      </c>
    </row>
    <row r="364" spans="1:14" x14ac:dyDescent="0.3">
      <c r="A364" s="1">
        <v>1363</v>
      </c>
      <c r="B364" s="2">
        <v>45446</v>
      </c>
      <c r="C364" s="1" t="s">
        <v>25</v>
      </c>
      <c r="D364" s="1" t="s">
        <v>26</v>
      </c>
      <c r="E364" s="1" t="s">
        <v>32</v>
      </c>
      <c r="F364" s="1" t="s">
        <v>33</v>
      </c>
      <c r="G364" s="1" t="s">
        <v>52</v>
      </c>
      <c r="H364" s="1">
        <v>12000</v>
      </c>
      <c r="I364" s="1">
        <v>5</v>
      </c>
      <c r="J364" s="1">
        <v>0</v>
      </c>
      <c r="K364" s="1">
        <v>60000</v>
      </c>
      <c r="L364" s="1">
        <v>11462.79</v>
      </c>
      <c r="M364" s="8">
        <f t="shared" ca="1" si="10"/>
        <v>46011.04483136574</v>
      </c>
      <c r="N364" s="9" t="str">
        <f t="shared" si="11"/>
        <v>Jun</v>
      </c>
    </row>
    <row r="365" spans="1:14" x14ac:dyDescent="0.3">
      <c r="A365" s="1">
        <v>1364</v>
      </c>
      <c r="B365" s="2">
        <v>45367</v>
      </c>
      <c r="C365" s="1" t="s">
        <v>50</v>
      </c>
      <c r="D365" s="1" t="s">
        <v>51</v>
      </c>
      <c r="E365" s="1" t="s">
        <v>29</v>
      </c>
      <c r="F365" s="1" t="s">
        <v>15</v>
      </c>
      <c r="G365" s="1" t="s">
        <v>35</v>
      </c>
      <c r="H365" s="1">
        <v>55000</v>
      </c>
      <c r="I365" s="1">
        <v>4</v>
      </c>
      <c r="J365" s="1">
        <v>0</v>
      </c>
      <c r="K365" s="1">
        <v>220000</v>
      </c>
      <c r="L365" s="1">
        <v>69026.97</v>
      </c>
      <c r="M365" s="8">
        <f t="shared" ca="1" si="10"/>
        <v>46011.04483136574</v>
      </c>
      <c r="N365" s="9" t="str">
        <f t="shared" si="11"/>
        <v>Mar</v>
      </c>
    </row>
    <row r="366" spans="1:14" x14ac:dyDescent="0.3">
      <c r="A366" s="1">
        <v>1365</v>
      </c>
      <c r="B366" s="2">
        <v>45303</v>
      </c>
      <c r="C366" s="1" t="s">
        <v>27</v>
      </c>
      <c r="D366" s="1" t="s">
        <v>28</v>
      </c>
      <c r="E366" s="1" t="s">
        <v>14</v>
      </c>
      <c r="F366" s="1" t="s">
        <v>33</v>
      </c>
      <c r="G366" s="1" t="s">
        <v>43</v>
      </c>
      <c r="H366" s="1">
        <v>7500</v>
      </c>
      <c r="I366" s="1">
        <v>1</v>
      </c>
      <c r="J366" s="1">
        <v>0.15</v>
      </c>
      <c r="K366" s="1">
        <v>6375</v>
      </c>
      <c r="L366" s="1">
        <v>1212.22</v>
      </c>
      <c r="M366" s="8">
        <f t="shared" ca="1" si="10"/>
        <v>46011.04483136574</v>
      </c>
      <c r="N366" s="9" t="str">
        <f t="shared" si="11"/>
        <v>Jan</v>
      </c>
    </row>
    <row r="367" spans="1:14" x14ac:dyDescent="0.3">
      <c r="A367" s="1">
        <v>1366</v>
      </c>
      <c r="B367" s="2">
        <v>45432</v>
      </c>
      <c r="C367" s="1" t="s">
        <v>17</v>
      </c>
      <c r="D367" s="1" t="s">
        <v>18</v>
      </c>
      <c r="E367" s="1" t="s">
        <v>29</v>
      </c>
      <c r="F367" s="1" t="s">
        <v>20</v>
      </c>
      <c r="G367" s="1" t="s">
        <v>45</v>
      </c>
      <c r="H367" s="1">
        <v>500</v>
      </c>
      <c r="I367" s="1">
        <v>5</v>
      </c>
      <c r="J367" s="1">
        <v>0.15</v>
      </c>
      <c r="K367" s="1">
        <v>2125</v>
      </c>
      <c r="L367" s="1">
        <v>418.09</v>
      </c>
      <c r="M367" s="8">
        <f t="shared" ca="1" si="10"/>
        <v>46011.04483136574</v>
      </c>
      <c r="N367" s="9" t="str">
        <f t="shared" si="11"/>
        <v>May</v>
      </c>
    </row>
    <row r="368" spans="1:14" x14ac:dyDescent="0.3">
      <c r="A368" s="1">
        <v>1367</v>
      </c>
      <c r="B368" s="2">
        <v>45340</v>
      </c>
      <c r="C368" s="1" t="s">
        <v>27</v>
      </c>
      <c r="D368" s="1" t="s">
        <v>28</v>
      </c>
      <c r="E368" s="1" t="s">
        <v>14</v>
      </c>
      <c r="F368" s="1" t="s">
        <v>15</v>
      </c>
      <c r="G368" s="1" t="s">
        <v>24</v>
      </c>
      <c r="H368" s="1">
        <v>22000</v>
      </c>
      <c r="I368" s="1">
        <v>5</v>
      </c>
      <c r="J368" s="1">
        <v>0</v>
      </c>
      <c r="K368" s="1">
        <v>110000</v>
      </c>
      <c r="L368" s="1">
        <v>20311.61</v>
      </c>
      <c r="M368" s="8">
        <f t="shared" ca="1" si="10"/>
        <v>46011.04483136574</v>
      </c>
      <c r="N368" s="9" t="str">
        <f t="shared" si="11"/>
        <v>Feb</v>
      </c>
    </row>
    <row r="369" spans="1:14" x14ac:dyDescent="0.3">
      <c r="A369" s="1">
        <v>1368</v>
      </c>
      <c r="B369" s="2">
        <v>45321</v>
      </c>
      <c r="C369" s="1" t="s">
        <v>17</v>
      </c>
      <c r="D369" s="1" t="s">
        <v>18</v>
      </c>
      <c r="E369" s="1" t="s">
        <v>29</v>
      </c>
      <c r="F369" s="1" t="s">
        <v>20</v>
      </c>
      <c r="G369" s="1" t="s">
        <v>45</v>
      </c>
      <c r="H369" s="1">
        <v>500</v>
      </c>
      <c r="I369" s="1">
        <v>3</v>
      </c>
      <c r="J369" s="1">
        <v>0.1</v>
      </c>
      <c r="K369" s="1">
        <v>1350</v>
      </c>
      <c r="L369" s="1">
        <v>327.88</v>
      </c>
      <c r="M369" s="8">
        <f t="shared" ca="1" si="10"/>
        <v>46011.04483136574</v>
      </c>
      <c r="N369" s="9" t="str">
        <f t="shared" si="11"/>
        <v>Jan</v>
      </c>
    </row>
    <row r="370" spans="1:14" x14ac:dyDescent="0.3">
      <c r="A370" s="1">
        <v>1369</v>
      </c>
      <c r="B370" s="2">
        <v>45341</v>
      </c>
      <c r="C370" s="1" t="s">
        <v>27</v>
      </c>
      <c r="D370" s="1" t="s">
        <v>28</v>
      </c>
      <c r="E370" s="1" t="s">
        <v>29</v>
      </c>
      <c r="F370" s="1" t="s">
        <v>15</v>
      </c>
      <c r="G370" s="1" t="s">
        <v>24</v>
      </c>
      <c r="H370" s="1">
        <v>22000</v>
      </c>
      <c r="I370" s="1">
        <v>1</v>
      </c>
      <c r="J370" s="1">
        <v>0.1</v>
      </c>
      <c r="K370" s="1">
        <v>19800</v>
      </c>
      <c r="L370" s="1">
        <v>4456.3500000000004</v>
      </c>
      <c r="M370" s="8">
        <f t="shared" ca="1" si="10"/>
        <v>46011.04483136574</v>
      </c>
      <c r="N370" s="9" t="str">
        <f t="shared" si="11"/>
        <v>Feb</v>
      </c>
    </row>
    <row r="371" spans="1:14" x14ac:dyDescent="0.3">
      <c r="A371" s="1">
        <v>1370</v>
      </c>
      <c r="B371" s="2">
        <v>45294</v>
      </c>
      <c r="C371" s="1" t="s">
        <v>36</v>
      </c>
      <c r="D371" s="1" t="s">
        <v>37</v>
      </c>
      <c r="E371" s="1" t="s">
        <v>19</v>
      </c>
      <c r="F371" s="1" t="s">
        <v>33</v>
      </c>
      <c r="G371" s="1" t="s">
        <v>43</v>
      </c>
      <c r="H371" s="1">
        <v>7500</v>
      </c>
      <c r="I371" s="1">
        <v>1</v>
      </c>
      <c r="J371" s="1">
        <v>0</v>
      </c>
      <c r="K371" s="1">
        <v>7500</v>
      </c>
      <c r="L371" s="1">
        <v>1541.79</v>
      </c>
      <c r="M371" s="8">
        <f t="shared" ca="1" si="10"/>
        <v>46011.04483136574</v>
      </c>
      <c r="N371" s="9" t="str">
        <f t="shared" si="11"/>
        <v>Jan</v>
      </c>
    </row>
    <row r="372" spans="1:14" x14ac:dyDescent="0.3">
      <c r="A372" s="1">
        <v>1371</v>
      </c>
      <c r="B372" s="2">
        <v>45366</v>
      </c>
      <c r="C372" s="1" t="s">
        <v>41</v>
      </c>
      <c r="D372" s="1" t="s">
        <v>42</v>
      </c>
      <c r="E372" s="1" t="s">
        <v>19</v>
      </c>
      <c r="F372" s="1" t="s">
        <v>20</v>
      </c>
      <c r="G372" s="1" t="s">
        <v>38</v>
      </c>
      <c r="H372" s="1">
        <v>350</v>
      </c>
      <c r="I372" s="1">
        <v>1</v>
      </c>
      <c r="J372" s="1">
        <v>0.1</v>
      </c>
      <c r="K372" s="1">
        <v>315</v>
      </c>
      <c r="L372" s="1">
        <v>76.959999999999994</v>
      </c>
      <c r="M372" s="8">
        <f t="shared" ca="1" si="10"/>
        <v>46011.04483136574</v>
      </c>
      <c r="N372" s="9" t="str">
        <f t="shared" si="11"/>
        <v>Mar</v>
      </c>
    </row>
    <row r="373" spans="1:14" x14ac:dyDescent="0.3">
      <c r="A373" s="1">
        <v>1372</v>
      </c>
      <c r="B373" s="2">
        <v>45302</v>
      </c>
      <c r="C373" s="1" t="s">
        <v>46</v>
      </c>
      <c r="D373" s="1" t="s">
        <v>47</v>
      </c>
      <c r="E373" s="1" t="s">
        <v>29</v>
      </c>
      <c r="F373" s="1" t="s">
        <v>33</v>
      </c>
      <c r="G373" s="1" t="s">
        <v>52</v>
      </c>
      <c r="H373" s="1">
        <v>12000</v>
      </c>
      <c r="I373" s="1">
        <v>4</v>
      </c>
      <c r="J373" s="1">
        <v>0.1</v>
      </c>
      <c r="K373" s="1">
        <v>43200</v>
      </c>
      <c r="L373" s="1">
        <v>8552.0400000000009</v>
      </c>
      <c r="M373" s="8">
        <f t="shared" ca="1" si="10"/>
        <v>46011.04483136574</v>
      </c>
      <c r="N373" s="9" t="str">
        <f t="shared" si="11"/>
        <v>Jan</v>
      </c>
    </row>
    <row r="374" spans="1:14" x14ac:dyDescent="0.3">
      <c r="A374" s="1">
        <v>1373</v>
      </c>
      <c r="B374" s="2">
        <v>45383</v>
      </c>
      <c r="C374" s="1" t="s">
        <v>46</v>
      </c>
      <c r="D374" s="1" t="s">
        <v>47</v>
      </c>
      <c r="E374" s="1" t="s">
        <v>19</v>
      </c>
      <c r="F374" s="1" t="s">
        <v>20</v>
      </c>
      <c r="G374" s="1" t="s">
        <v>45</v>
      </c>
      <c r="H374" s="1">
        <v>500</v>
      </c>
      <c r="I374" s="1">
        <v>3</v>
      </c>
      <c r="J374" s="1">
        <v>0.05</v>
      </c>
      <c r="K374" s="1">
        <v>1425</v>
      </c>
      <c r="L374" s="1">
        <v>290.60000000000002</v>
      </c>
      <c r="M374" s="8">
        <f t="shared" ca="1" si="10"/>
        <v>46011.04483136574</v>
      </c>
      <c r="N374" s="9" t="str">
        <f t="shared" si="11"/>
        <v>Apr</v>
      </c>
    </row>
    <row r="375" spans="1:14" x14ac:dyDescent="0.3">
      <c r="A375" s="1">
        <v>1374</v>
      </c>
      <c r="B375" s="2">
        <v>45316</v>
      </c>
      <c r="C375" s="1" t="s">
        <v>48</v>
      </c>
      <c r="D375" s="1" t="s">
        <v>49</v>
      </c>
      <c r="E375" s="1" t="s">
        <v>32</v>
      </c>
      <c r="F375" s="1" t="s">
        <v>15</v>
      </c>
      <c r="G375" s="1" t="s">
        <v>44</v>
      </c>
      <c r="H375" s="1">
        <v>18000</v>
      </c>
      <c r="I375" s="1">
        <v>2</v>
      </c>
      <c r="J375" s="1">
        <v>0.1</v>
      </c>
      <c r="K375" s="1">
        <v>32400</v>
      </c>
      <c r="L375" s="1">
        <v>6268.42</v>
      </c>
      <c r="M375" s="8">
        <f t="shared" ca="1" si="10"/>
        <v>46011.04483136574</v>
      </c>
      <c r="N375" s="9" t="str">
        <f t="shared" si="11"/>
        <v>Jan</v>
      </c>
    </row>
    <row r="376" spans="1:14" x14ac:dyDescent="0.3">
      <c r="A376" s="1">
        <v>1375</v>
      </c>
      <c r="B376" s="2">
        <v>45322</v>
      </c>
      <c r="C376" s="1" t="s">
        <v>27</v>
      </c>
      <c r="D376" s="1" t="s">
        <v>28</v>
      </c>
      <c r="E376" s="1" t="s">
        <v>32</v>
      </c>
      <c r="F376" s="1" t="s">
        <v>15</v>
      </c>
      <c r="G376" s="1" t="s">
        <v>35</v>
      </c>
      <c r="H376" s="1">
        <v>55000</v>
      </c>
      <c r="I376" s="1">
        <v>3</v>
      </c>
      <c r="J376" s="1">
        <v>0.1</v>
      </c>
      <c r="K376" s="1">
        <v>148500</v>
      </c>
      <c r="L376" s="1">
        <v>42673.37</v>
      </c>
      <c r="M376" s="8">
        <f t="shared" ca="1" si="10"/>
        <v>46011.04483136574</v>
      </c>
      <c r="N376" s="9" t="str">
        <f t="shared" si="11"/>
        <v>Jan</v>
      </c>
    </row>
    <row r="377" spans="1:14" x14ac:dyDescent="0.3">
      <c r="A377" s="1">
        <v>1376</v>
      </c>
      <c r="B377" s="2">
        <v>45295</v>
      </c>
      <c r="C377" s="1" t="s">
        <v>50</v>
      </c>
      <c r="D377" s="1" t="s">
        <v>51</v>
      </c>
      <c r="E377" s="1" t="s">
        <v>19</v>
      </c>
      <c r="F377" s="1" t="s">
        <v>15</v>
      </c>
      <c r="G377" s="1" t="s">
        <v>16</v>
      </c>
      <c r="H377" s="1">
        <v>3000</v>
      </c>
      <c r="I377" s="1">
        <v>3</v>
      </c>
      <c r="J377" s="1">
        <v>0</v>
      </c>
      <c r="K377" s="1">
        <v>9000</v>
      </c>
      <c r="L377" s="1">
        <v>2124.79</v>
      </c>
      <c r="M377" s="8">
        <f t="shared" ca="1" si="10"/>
        <v>46011.04483136574</v>
      </c>
      <c r="N377" s="9" t="str">
        <f t="shared" si="11"/>
        <v>Jan</v>
      </c>
    </row>
    <row r="378" spans="1:14" x14ac:dyDescent="0.3">
      <c r="A378" s="1">
        <v>1377</v>
      </c>
      <c r="B378" s="2">
        <v>45398</v>
      </c>
      <c r="C378" s="1" t="s">
        <v>36</v>
      </c>
      <c r="D378" s="1" t="s">
        <v>37</v>
      </c>
      <c r="E378" s="1" t="s">
        <v>14</v>
      </c>
      <c r="F378" s="1" t="s">
        <v>33</v>
      </c>
      <c r="G378" s="1" t="s">
        <v>34</v>
      </c>
      <c r="H378" s="1">
        <v>9500</v>
      </c>
      <c r="I378" s="1">
        <v>3</v>
      </c>
      <c r="J378" s="1">
        <v>0.1</v>
      </c>
      <c r="K378" s="1">
        <v>25650</v>
      </c>
      <c r="L378" s="1">
        <v>7847.77</v>
      </c>
      <c r="M378" s="8">
        <f t="shared" ca="1" si="10"/>
        <v>46011.04483136574</v>
      </c>
      <c r="N378" s="9" t="str">
        <f t="shared" si="11"/>
        <v>Apr</v>
      </c>
    </row>
    <row r="379" spans="1:14" x14ac:dyDescent="0.3">
      <c r="A379" s="1">
        <v>1378</v>
      </c>
      <c r="B379" s="2">
        <v>45421</v>
      </c>
      <c r="C379" s="1" t="s">
        <v>12</v>
      </c>
      <c r="D379" s="1" t="s">
        <v>13</v>
      </c>
      <c r="E379" s="1" t="s">
        <v>14</v>
      </c>
      <c r="F379" s="1" t="s">
        <v>20</v>
      </c>
      <c r="G379" s="1" t="s">
        <v>38</v>
      </c>
      <c r="H379" s="1">
        <v>350</v>
      </c>
      <c r="I379" s="1">
        <v>5</v>
      </c>
      <c r="J379" s="1">
        <v>0.1</v>
      </c>
      <c r="K379" s="1">
        <v>1575</v>
      </c>
      <c r="L379" s="1">
        <v>371.25</v>
      </c>
      <c r="M379" s="8">
        <f t="shared" ca="1" si="10"/>
        <v>46011.04483136574</v>
      </c>
      <c r="N379" s="9" t="str">
        <f t="shared" si="11"/>
        <v>May</v>
      </c>
    </row>
    <row r="380" spans="1:14" x14ac:dyDescent="0.3">
      <c r="A380" s="1">
        <v>1379</v>
      </c>
      <c r="B380" s="2">
        <v>45360</v>
      </c>
      <c r="C380" s="1" t="s">
        <v>50</v>
      </c>
      <c r="D380" s="1" t="s">
        <v>51</v>
      </c>
      <c r="E380" s="1" t="s">
        <v>32</v>
      </c>
      <c r="F380" s="1" t="s">
        <v>15</v>
      </c>
      <c r="G380" s="1" t="s">
        <v>24</v>
      </c>
      <c r="H380" s="1">
        <v>22000</v>
      </c>
      <c r="I380" s="1">
        <v>3</v>
      </c>
      <c r="J380" s="1">
        <v>0.1</v>
      </c>
      <c r="K380" s="1">
        <v>59400</v>
      </c>
      <c r="L380" s="1">
        <v>8974.86</v>
      </c>
      <c r="M380" s="8">
        <f t="shared" ca="1" si="10"/>
        <v>46011.04483136574</v>
      </c>
      <c r="N380" s="9" t="str">
        <f t="shared" si="11"/>
        <v>Mar</v>
      </c>
    </row>
    <row r="381" spans="1:14" x14ac:dyDescent="0.3">
      <c r="A381" s="1">
        <v>1380</v>
      </c>
      <c r="B381" s="2">
        <v>45392</v>
      </c>
      <c r="C381" s="1" t="s">
        <v>12</v>
      </c>
      <c r="D381" s="1" t="s">
        <v>13</v>
      </c>
      <c r="E381" s="1" t="s">
        <v>14</v>
      </c>
      <c r="F381" s="1" t="s">
        <v>33</v>
      </c>
      <c r="G381" s="1" t="s">
        <v>43</v>
      </c>
      <c r="H381" s="1">
        <v>7500</v>
      </c>
      <c r="I381" s="1">
        <v>2</v>
      </c>
      <c r="J381" s="1">
        <v>0.15</v>
      </c>
      <c r="K381" s="1">
        <v>12750</v>
      </c>
      <c r="L381" s="1">
        <v>1931.26</v>
      </c>
      <c r="M381" s="8">
        <f t="shared" ca="1" si="10"/>
        <v>46011.04483136574</v>
      </c>
      <c r="N381" s="9" t="str">
        <f t="shared" si="11"/>
        <v>Apr</v>
      </c>
    </row>
    <row r="382" spans="1:14" x14ac:dyDescent="0.3">
      <c r="A382" s="1">
        <v>1381</v>
      </c>
      <c r="B382" s="2">
        <v>45331</v>
      </c>
      <c r="C382" s="1" t="s">
        <v>50</v>
      </c>
      <c r="D382" s="1" t="s">
        <v>51</v>
      </c>
      <c r="E382" s="1" t="s">
        <v>19</v>
      </c>
      <c r="F382" s="1" t="s">
        <v>33</v>
      </c>
      <c r="G382" s="1" t="s">
        <v>34</v>
      </c>
      <c r="H382" s="1">
        <v>9500</v>
      </c>
      <c r="I382" s="1">
        <v>1</v>
      </c>
      <c r="J382" s="1">
        <v>0.05</v>
      </c>
      <c r="K382" s="1">
        <v>9025</v>
      </c>
      <c r="L382" s="1">
        <v>2058.19</v>
      </c>
      <c r="M382" s="8">
        <f t="shared" ca="1" si="10"/>
        <v>46011.04483136574</v>
      </c>
      <c r="N382" s="9" t="str">
        <f t="shared" si="11"/>
        <v>Feb</v>
      </c>
    </row>
    <row r="383" spans="1:14" x14ac:dyDescent="0.3">
      <c r="A383" s="1">
        <v>1382</v>
      </c>
      <c r="B383" s="2">
        <v>45400</v>
      </c>
      <c r="C383" s="1" t="s">
        <v>36</v>
      </c>
      <c r="D383" s="1" t="s">
        <v>37</v>
      </c>
      <c r="E383" s="1" t="s">
        <v>14</v>
      </c>
      <c r="F383" s="1" t="s">
        <v>20</v>
      </c>
      <c r="G383" s="1" t="s">
        <v>21</v>
      </c>
      <c r="H383" s="1">
        <v>200</v>
      </c>
      <c r="I383" s="1">
        <v>3</v>
      </c>
      <c r="J383" s="1">
        <v>0.15</v>
      </c>
      <c r="K383" s="1">
        <v>510</v>
      </c>
      <c r="L383" s="1">
        <v>112.06</v>
      </c>
      <c r="M383" s="8">
        <f t="shared" ca="1" si="10"/>
        <v>46011.04483136574</v>
      </c>
      <c r="N383" s="9" t="str">
        <f t="shared" si="11"/>
        <v>Apr</v>
      </c>
    </row>
    <row r="384" spans="1:14" x14ac:dyDescent="0.3">
      <c r="A384" s="1">
        <v>1383</v>
      </c>
      <c r="B384" s="2">
        <v>45443</v>
      </c>
      <c r="C384" s="1" t="s">
        <v>17</v>
      </c>
      <c r="D384" s="1" t="s">
        <v>18</v>
      </c>
      <c r="E384" s="1" t="s">
        <v>19</v>
      </c>
      <c r="F384" s="1" t="s">
        <v>20</v>
      </c>
      <c r="G384" s="1" t="s">
        <v>21</v>
      </c>
      <c r="H384" s="1">
        <v>200</v>
      </c>
      <c r="I384" s="1">
        <v>1</v>
      </c>
      <c r="J384" s="1">
        <v>0.05</v>
      </c>
      <c r="K384" s="1">
        <v>190</v>
      </c>
      <c r="L384" s="1">
        <v>39.85</v>
      </c>
      <c r="M384" s="8">
        <f t="shared" ca="1" si="10"/>
        <v>46011.04483136574</v>
      </c>
      <c r="N384" s="9" t="str">
        <f t="shared" si="11"/>
        <v>May</v>
      </c>
    </row>
    <row r="385" spans="1:14" x14ac:dyDescent="0.3">
      <c r="A385" s="1">
        <v>1384</v>
      </c>
      <c r="B385" s="2">
        <v>45419</v>
      </c>
      <c r="C385" s="1" t="s">
        <v>46</v>
      </c>
      <c r="D385" s="1" t="s">
        <v>47</v>
      </c>
      <c r="E385" s="1" t="s">
        <v>32</v>
      </c>
      <c r="F385" s="1" t="s">
        <v>20</v>
      </c>
      <c r="G385" s="1" t="s">
        <v>21</v>
      </c>
      <c r="H385" s="1">
        <v>200</v>
      </c>
      <c r="I385" s="1">
        <v>3</v>
      </c>
      <c r="J385" s="1">
        <v>0.15</v>
      </c>
      <c r="K385" s="1">
        <v>510</v>
      </c>
      <c r="L385" s="1">
        <v>169.84</v>
      </c>
      <c r="M385" s="8">
        <f t="shared" ca="1" si="10"/>
        <v>46011.04483136574</v>
      </c>
      <c r="N385" s="9" t="str">
        <f t="shared" si="11"/>
        <v>May</v>
      </c>
    </row>
    <row r="386" spans="1:14" x14ac:dyDescent="0.3">
      <c r="A386" s="1">
        <v>1385</v>
      </c>
      <c r="B386" s="2">
        <v>45339</v>
      </c>
      <c r="C386" s="1" t="s">
        <v>22</v>
      </c>
      <c r="D386" s="1" t="s">
        <v>23</v>
      </c>
      <c r="E386" s="1" t="s">
        <v>32</v>
      </c>
      <c r="F386" s="1" t="s">
        <v>20</v>
      </c>
      <c r="G386" s="1" t="s">
        <v>45</v>
      </c>
      <c r="H386" s="1">
        <v>500</v>
      </c>
      <c r="I386" s="1">
        <v>1</v>
      </c>
      <c r="J386" s="1">
        <v>0</v>
      </c>
      <c r="K386" s="1">
        <v>500</v>
      </c>
      <c r="L386" s="1">
        <v>137.35</v>
      </c>
      <c r="M386" s="8">
        <f t="shared" ca="1" si="10"/>
        <v>46011.04483136574</v>
      </c>
      <c r="N386" s="9" t="str">
        <f t="shared" si="11"/>
        <v>Feb</v>
      </c>
    </row>
    <row r="387" spans="1:14" x14ac:dyDescent="0.3">
      <c r="A387" s="1">
        <v>1386</v>
      </c>
      <c r="B387" s="2">
        <v>45308</v>
      </c>
      <c r="C387" s="1" t="s">
        <v>12</v>
      </c>
      <c r="D387" s="1" t="s">
        <v>13</v>
      </c>
      <c r="E387" s="1" t="s">
        <v>32</v>
      </c>
      <c r="F387" s="1" t="s">
        <v>15</v>
      </c>
      <c r="G387" s="1" t="s">
        <v>35</v>
      </c>
      <c r="H387" s="1">
        <v>55000</v>
      </c>
      <c r="I387" s="1">
        <v>1</v>
      </c>
      <c r="J387" s="1">
        <v>0.15</v>
      </c>
      <c r="K387" s="1">
        <v>46750</v>
      </c>
      <c r="L387" s="1">
        <v>7317.48</v>
      </c>
      <c r="M387" s="8">
        <f t="shared" ref="M387:M450" ca="1" si="12">NOW()</f>
        <v>46011.04483136574</v>
      </c>
      <c r="N387" s="9" t="str">
        <f t="shared" ref="N387:N450" si="13">TEXT(B387,"mmm")</f>
        <v>Jan</v>
      </c>
    </row>
    <row r="388" spans="1:14" x14ac:dyDescent="0.3">
      <c r="A388" s="1">
        <v>1387</v>
      </c>
      <c r="B388" s="2">
        <v>45347</v>
      </c>
      <c r="C388" s="1" t="s">
        <v>25</v>
      </c>
      <c r="D388" s="1" t="s">
        <v>26</v>
      </c>
      <c r="E388" s="1" t="s">
        <v>32</v>
      </c>
      <c r="F388" s="1" t="s">
        <v>33</v>
      </c>
      <c r="G388" s="1" t="s">
        <v>52</v>
      </c>
      <c r="H388" s="1">
        <v>12000</v>
      </c>
      <c r="I388" s="1">
        <v>1</v>
      </c>
      <c r="J388" s="1">
        <v>0.1</v>
      </c>
      <c r="K388" s="1">
        <v>10800</v>
      </c>
      <c r="L388" s="1">
        <v>3249.26</v>
      </c>
      <c r="M388" s="8">
        <f t="shared" ca="1" si="12"/>
        <v>46011.04483136574</v>
      </c>
      <c r="N388" s="9" t="str">
        <f t="shared" si="13"/>
        <v>Feb</v>
      </c>
    </row>
    <row r="389" spans="1:14" x14ac:dyDescent="0.3">
      <c r="A389" s="1">
        <v>1388</v>
      </c>
      <c r="B389" s="2">
        <v>45372</v>
      </c>
      <c r="C389" s="1" t="s">
        <v>22</v>
      </c>
      <c r="D389" s="1" t="s">
        <v>23</v>
      </c>
      <c r="E389" s="1" t="s">
        <v>14</v>
      </c>
      <c r="F389" s="1" t="s">
        <v>33</v>
      </c>
      <c r="G389" s="1" t="s">
        <v>52</v>
      </c>
      <c r="H389" s="1">
        <v>12000</v>
      </c>
      <c r="I389" s="1">
        <v>5</v>
      </c>
      <c r="J389" s="1">
        <v>0.05</v>
      </c>
      <c r="K389" s="1">
        <v>57000</v>
      </c>
      <c r="L389" s="1">
        <v>18744.7</v>
      </c>
      <c r="M389" s="8">
        <f t="shared" ca="1" si="12"/>
        <v>46011.04483136574</v>
      </c>
      <c r="N389" s="9" t="str">
        <f t="shared" si="13"/>
        <v>Mar</v>
      </c>
    </row>
    <row r="390" spans="1:14" x14ac:dyDescent="0.3">
      <c r="A390" s="1">
        <v>1389</v>
      </c>
      <c r="B390" s="2">
        <v>45308</v>
      </c>
      <c r="C390" s="1" t="s">
        <v>22</v>
      </c>
      <c r="D390" s="1" t="s">
        <v>23</v>
      </c>
      <c r="E390" s="1" t="s">
        <v>19</v>
      </c>
      <c r="F390" s="1" t="s">
        <v>33</v>
      </c>
      <c r="G390" s="1" t="s">
        <v>43</v>
      </c>
      <c r="H390" s="1">
        <v>7500</v>
      </c>
      <c r="I390" s="1">
        <v>5</v>
      </c>
      <c r="J390" s="1">
        <v>0</v>
      </c>
      <c r="K390" s="1">
        <v>37500</v>
      </c>
      <c r="L390" s="1">
        <v>10858.41</v>
      </c>
      <c r="M390" s="8">
        <f t="shared" ca="1" si="12"/>
        <v>46011.04483136574</v>
      </c>
      <c r="N390" s="9" t="str">
        <f t="shared" si="13"/>
        <v>Jan</v>
      </c>
    </row>
    <row r="391" spans="1:14" x14ac:dyDescent="0.3">
      <c r="A391" s="1">
        <v>1390</v>
      </c>
      <c r="B391" s="2">
        <v>45469</v>
      </c>
      <c r="C391" s="1" t="s">
        <v>41</v>
      </c>
      <c r="D391" s="1" t="s">
        <v>42</v>
      </c>
      <c r="E391" s="1" t="s">
        <v>32</v>
      </c>
      <c r="F391" s="1" t="s">
        <v>20</v>
      </c>
      <c r="G391" s="1" t="s">
        <v>45</v>
      </c>
      <c r="H391" s="1">
        <v>500</v>
      </c>
      <c r="I391" s="1">
        <v>5</v>
      </c>
      <c r="J391" s="1">
        <v>0.05</v>
      </c>
      <c r="K391" s="1">
        <v>2375</v>
      </c>
      <c r="L391" s="1">
        <v>408.05</v>
      </c>
      <c r="M391" s="8">
        <f t="shared" ca="1" si="12"/>
        <v>46011.04483136574</v>
      </c>
      <c r="N391" s="9" t="str">
        <f t="shared" si="13"/>
        <v>Jun</v>
      </c>
    </row>
    <row r="392" spans="1:14" x14ac:dyDescent="0.3">
      <c r="A392" s="1">
        <v>1391</v>
      </c>
      <c r="B392" s="2">
        <v>45360</v>
      </c>
      <c r="C392" s="1" t="s">
        <v>30</v>
      </c>
      <c r="D392" s="1" t="s">
        <v>31</v>
      </c>
      <c r="E392" s="1" t="s">
        <v>19</v>
      </c>
      <c r="F392" s="1" t="s">
        <v>33</v>
      </c>
      <c r="G392" s="1" t="s">
        <v>43</v>
      </c>
      <c r="H392" s="1">
        <v>7500</v>
      </c>
      <c r="I392" s="1">
        <v>4</v>
      </c>
      <c r="J392" s="1">
        <v>0.05</v>
      </c>
      <c r="K392" s="1">
        <v>28500</v>
      </c>
      <c r="L392" s="1">
        <v>7767.99</v>
      </c>
      <c r="M392" s="8">
        <f t="shared" ca="1" si="12"/>
        <v>46011.04483136574</v>
      </c>
      <c r="N392" s="9" t="str">
        <f t="shared" si="13"/>
        <v>Mar</v>
      </c>
    </row>
    <row r="393" spans="1:14" x14ac:dyDescent="0.3">
      <c r="A393" s="1">
        <v>1392</v>
      </c>
      <c r="B393" s="2">
        <v>45301</v>
      </c>
      <c r="C393" s="1" t="s">
        <v>25</v>
      </c>
      <c r="D393" s="1" t="s">
        <v>26</v>
      </c>
      <c r="E393" s="1" t="s">
        <v>32</v>
      </c>
      <c r="F393" s="1" t="s">
        <v>20</v>
      </c>
      <c r="G393" s="1" t="s">
        <v>45</v>
      </c>
      <c r="H393" s="1">
        <v>500</v>
      </c>
      <c r="I393" s="1">
        <v>1</v>
      </c>
      <c r="J393" s="1">
        <v>0.1</v>
      </c>
      <c r="K393" s="1">
        <v>450</v>
      </c>
      <c r="L393" s="1">
        <v>108.74</v>
      </c>
      <c r="M393" s="8">
        <f t="shared" ca="1" si="12"/>
        <v>46011.04483136574</v>
      </c>
      <c r="N393" s="9" t="str">
        <f t="shared" si="13"/>
        <v>Jan</v>
      </c>
    </row>
    <row r="394" spans="1:14" x14ac:dyDescent="0.3">
      <c r="A394" s="1">
        <v>1393</v>
      </c>
      <c r="B394" s="2">
        <v>45469</v>
      </c>
      <c r="C394" s="1" t="s">
        <v>25</v>
      </c>
      <c r="D394" s="1" t="s">
        <v>26</v>
      </c>
      <c r="E394" s="1" t="s">
        <v>14</v>
      </c>
      <c r="F394" s="1" t="s">
        <v>15</v>
      </c>
      <c r="G394" s="1" t="s">
        <v>35</v>
      </c>
      <c r="H394" s="1">
        <v>55000</v>
      </c>
      <c r="I394" s="1">
        <v>4</v>
      </c>
      <c r="J394" s="1">
        <v>0.1</v>
      </c>
      <c r="K394" s="1">
        <v>198000</v>
      </c>
      <c r="L394" s="1">
        <v>52809.11</v>
      </c>
      <c r="M394" s="8">
        <f t="shared" ca="1" si="12"/>
        <v>46011.04483136574</v>
      </c>
      <c r="N394" s="9" t="str">
        <f t="shared" si="13"/>
        <v>Jun</v>
      </c>
    </row>
    <row r="395" spans="1:14" x14ac:dyDescent="0.3">
      <c r="A395" s="1">
        <v>1394</v>
      </c>
      <c r="B395" s="2">
        <v>45342</v>
      </c>
      <c r="C395" s="1" t="s">
        <v>48</v>
      </c>
      <c r="D395" s="1" t="s">
        <v>49</v>
      </c>
      <c r="E395" s="1" t="s">
        <v>14</v>
      </c>
      <c r="F395" s="1" t="s">
        <v>20</v>
      </c>
      <c r="G395" s="1" t="s">
        <v>21</v>
      </c>
      <c r="H395" s="1">
        <v>200</v>
      </c>
      <c r="I395" s="1">
        <v>3</v>
      </c>
      <c r="J395" s="1">
        <v>0.1</v>
      </c>
      <c r="K395" s="1">
        <v>540</v>
      </c>
      <c r="L395" s="1">
        <v>184.78</v>
      </c>
      <c r="M395" s="8">
        <f t="shared" ca="1" si="12"/>
        <v>46011.04483136574</v>
      </c>
      <c r="N395" s="9" t="str">
        <f t="shared" si="13"/>
        <v>Feb</v>
      </c>
    </row>
    <row r="396" spans="1:14" x14ac:dyDescent="0.3">
      <c r="A396" s="1">
        <v>1395</v>
      </c>
      <c r="B396" s="2">
        <v>45328</v>
      </c>
      <c r="C396" s="1" t="s">
        <v>30</v>
      </c>
      <c r="D396" s="1" t="s">
        <v>31</v>
      </c>
      <c r="E396" s="1" t="s">
        <v>29</v>
      </c>
      <c r="F396" s="1" t="s">
        <v>33</v>
      </c>
      <c r="G396" s="1" t="s">
        <v>43</v>
      </c>
      <c r="H396" s="1">
        <v>7500</v>
      </c>
      <c r="I396" s="1">
        <v>2</v>
      </c>
      <c r="J396" s="1">
        <v>0</v>
      </c>
      <c r="K396" s="1">
        <v>15000</v>
      </c>
      <c r="L396" s="1">
        <v>4583.05</v>
      </c>
      <c r="M396" s="8">
        <f t="shared" ca="1" si="12"/>
        <v>46011.04483136574</v>
      </c>
      <c r="N396" s="9" t="str">
        <f t="shared" si="13"/>
        <v>Feb</v>
      </c>
    </row>
    <row r="397" spans="1:14" x14ac:dyDescent="0.3">
      <c r="A397" s="1">
        <v>1396</v>
      </c>
      <c r="B397" s="2">
        <v>45304</v>
      </c>
      <c r="C397" s="1" t="s">
        <v>46</v>
      </c>
      <c r="D397" s="1" t="s">
        <v>47</v>
      </c>
      <c r="E397" s="1" t="s">
        <v>19</v>
      </c>
      <c r="F397" s="1" t="s">
        <v>33</v>
      </c>
      <c r="G397" s="1" t="s">
        <v>34</v>
      </c>
      <c r="H397" s="1">
        <v>9500</v>
      </c>
      <c r="I397" s="1">
        <v>4</v>
      </c>
      <c r="J397" s="1">
        <v>0.1</v>
      </c>
      <c r="K397" s="1">
        <v>34200</v>
      </c>
      <c r="L397" s="1">
        <v>6187.88</v>
      </c>
      <c r="M397" s="8">
        <f t="shared" ca="1" si="12"/>
        <v>46011.04483136574</v>
      </c>
      <c r="N397" s="9" t="str">
        <f t="shared" si="13"/>
        <v>Jan</v>
      </c>
    </row>
    <row r="398" spans="1:14" x14ac:dyDescent="0.3">
      <c r="A398" s="1">
        <v>1397</v>
      </c>
      <c r="B398" s="2">
        <v>45302</v>
      </c>
      <c r="C398" s="1" t="s">
        <v>30</v>
      </c>
      <c r="D398" s="1" t="s">
        <v>31</v>
      </c>
      <c r="E398" s="1" t="s">
        <v>29</v>
      </c>
      <c r="F398" s="1" t="s">
        <v>15</v>
      </c>
      <c r="G398" s="1" t="s">
        <v>44</v>
      </c>
      <c r="H398" s="1">
        <v>18000</v>
      </c>
      <c r="I398" s="1">
        <v>5</v>
      </c>
      <c r="J398" s="1">
        <v>0.1</v>
      </c>
      <c r="K398" s="1">
        <v>81000</v>
      </c>
      <c r="L398" s="1">
        <v>23699</v>
      </c>
      <c r="M398" s="8">
        <f t="shared" ca="1" si="12"/>
        <v>46011.04483136574</v>
      </c>
      <c r="N398" s="9" t="str">
        <f t="shared" si="13"/>
        <v>Jan</v>
      </c>
    </row>
    <row r="399" spans="1:14" x14ac:dyDescent="0.3">
      <c r="A399" s="1">
        <v>1398</v>
      </c>
      <c r="B399" s="2">
        <v>45396</v>
      </c>
      <c r="C399" s="1" t="s">
        <v>46</v>
      </c>
      <c r="D399" s="1" t="s">
        <v>47</v>
      </c>
      <c r="E399" s="1" t="s">
        <v>32</v>
      </c>
      <c r="F399" s="1" t="s">
        <v>15</v>
      </c>
      <c r="G399" s="1" t="s">
        <v>44</v>
      </c>
      <c r="H399" s="1">
        <v>18000</v>
      </c>
      <c r="I399" s="1">
        <v>3</v>
      </c>
      <c r="J399" s="1">
        <v>0.1</v>
      </c>
      <c r="K399" s="1">
        <v>48600</v>
      </c>
      <c r="L399" s="1">
        <v>10734.12</v>
      </c>
      <c r="M399" s="8">
        <f t="shared" ca="1" si="12"/>
        <v>46011.04483136574</v>
      </c>
      <c r="N399" s="9" t="str">
        <f t="shared" si="13"/>
        <v>Apr</v>
      </c>
    </row>
    <row r="400" spans="1:14" x14ac:dyDescent="0.3">
      <c r="A400" s="1">
        <v>1399</v>
      </c>
      <c r="B400" s="2">
        <v>45378</v>
      </c>
      <c r="C400" s="1" t="s">
        <v>12</v>
      </c>
      <c r="D400" s="1" t="s">
        <v>13</v>
      </c>
      <c r="E400" s="1" t="s">
        <v>29</v>
      </c>
      <c r="F400" s="1" t="s">
        <v>15</v>
      </c>
      <c r="G400" s="1" t="s">
        <v>16</v>
      </c>
      <c r="H400" s="1">
        <v>3000</v>
      </c>
      <c r="I400" s="1">
        <v>1</v>
      </c>
      <c r="J400" s="1">
        <v>0.05</v>
      </c>
      <c r="K400" s="1">
        <v>2850</v>
      </c>
      <c r="L400" s="1">
        <v>862.97</v>
      </c>
      <c r="M400" s="8">
        <f t="shared" ca="1" si="12"/>
        <v>46011.04483136574</v>
      </c>
      <c r="N400" s="9" t="str">
        <f t="shared" si="13"/>
        <v>Mar</v>
      </c>
    </row>
    <row r="401" spans="1:14" x14ac:dyDescent="0.3">
      <c r="A401" s="1">
        <v>1400</v>
      </c>
      <c r="B401" s="2">
        <v>45452</v>
      </c>
      <c r="C401" s="1" t="s">
        <v>17</v>
      </c>
      <c r="D401" s="1" t="s">
        <v>18</v>
      </c>
      <c r="E401" s="1" t="s">
        <v>19</v>
      </c>
      <c r="F401" s="1" t="s">
        <v>15</v>
      </c>
      <c r="G401" s="1" t="s">
        <v>44</v>
      </c>
      <c r="H401" s="1">
        <v>18000</v>
      </c>
      <c r="I401" s="1">
        <v>5</v>
      </c>
      <c r="J401" s="1">
        <v>0.15</v>
      </c>
      <c r="K401" s="1">
        <v>76500</v>
      </c>
      <c r="L401" s="1">
        <v>25550.6</v>
      </c>
      <c r="M401" s="8">
        <f t="shared" ca="1" si="12"/>
        <v>46011.04483136574</v>
      </c>
      <c r="N401" s="9" t="str">
        <f t="shared" si="13"/>
        <v>Jun</v>
      </c>
    </row>
    <row r="402" spans="1:14" x14ac:dyDescent="0.3">
      <c r="A402" s="1">
        <v>1401</v>
      </c>
      <c r="B402" s="2">
        <v>45456</v>
      </c>
      <c r="C402" s="1" t="s">
        <v>39</v>
      </c>
      <c r="D402" s="1" t="s">
        <v>40</v>
      </c>
      <c r="E402" s="1" t="s">
        <v>19</v>
      </c>
      <c r="F402" s="1" t="s">
        <v>15</v>
      </c>
      <c r="G402" s="1" t="s">
        <v>44</v>
      </c>
      <c r="H402" s="1">
        <v>18000</v>
      </c>
      <c r="I402" s="1">
        <v>4</v>
      </c>
      <c r="J402" s="1">
        <v>0.15</v>
      </c>
      <c r="K402" s="1">
        <v>61200</v>
      </c>
      <c r="L402" s="1">
        <v>17647.64</v>
      </c>
      <c r="M402" s="8">
        <f t="shared" ca="1" si="12"/>
        <v>46011.04483136574</v>
      </c>
      <c r="N402" s="9" t="str">
        <f t="shared" si="13"/>
        <v>Jun</v>
      </c>
    </row>
    <row r="403" spans="1:14" x14ac:dyDescent="0.3">
      <c r="A403" s="1">
        <v>1402</v>
      </c>
      <c r="B403" s="2">
        <v>45469</v>
      </c>
      <c r="C403" s="1" t="s">
        <v>50</v>
      </c>
      <c r="D403" s="1" t="s">
        <v>51</v>
      </c>
      <c r="E403" s="1" t="s">
        <v>32</v>
      </c>
      <c r="F403" s="1" t="s">
        <v>15</v>
      </c>
      <c r="G403" s="1" t="s">
        <v>24</v>
      </c>
      <c r="H403" s="1">
        <v>22000</v>
      </c>
      <c r="I403" s="1">
        <v>3</v>
      </c>
      <c r="J403" s="1">
        <v>0.15</v>
      </c>
      <c r="K403" s="1">
        <v>56100</v>
      </c>
      <c r="L403" s="1">
        <v>17110.3</v>
      </c>
      <c r="M403" s="8">
        <f t="shared" ca="1" si="12"/>
        <v>46011.04483136574</v>
      </c>
      <c r="N403" s="9" t="str">
        <f t="shared" si="13"/>
        <v>Jun</v>
      </c>
    </row>
    <row r="404" spans="1:14" x14ac:dyDescent="0.3">
      <c r="A404" s="1">
        <v>1403</v>
      </c>
      <c r="B404" s="2">
        <v>45395</v>
      </c>
      <c r="C404" s="1" t="s">
        <v>25</v>
      </c>
      <c r="D404" s="1" t="s">
        <v>26</v>
      </c>
      <c r="E404" s="1" t="s">
        <v>14</v>
      </c>
      <c r="F404" s="1" t="s">
        <v>15</v>
      </c>
      <c r="G404" s="1" t="s">
        <v>24</v>
      </c>
      <c r="H404" s="1">
        <v>22000</v>
      </c>
      <c r="I404" s="1">
        <v>4</v>
      </c>
      <c r="J404" s="1">
        <v>0.1</v>
      </c>
      <c r="K404" s="1">
        <v>79200</v>
      </c>
      <c r="L404" s="1">
        <v>24525.72</v>
      </c>
      <c r="M404" s="8">
        <f t="shared" ca="1" si="12"/>
        <v>46011.04483136574</v>
      </c>
      <c r="N404" s="9" t="str">
        <f t="shared" si="13"/>
        <v>Apr</v>
      </c>
    </row>
    <row r="405" spans="1:14" x14ac:dyDescent="0.3">
      <c r="A405" s="1">
        <v>1404</v>
      </c>
      <c r="B405" s="2">
        <v>45358</v>
      </c>
      <c r="C405" s="1" t="s">
        <v>46</v>
      </c>
      <c r="D405" s="1" t="s">
        <v>47</v>
      </c>
      <c r="E405" s="1" t="s">
        <v>32</v>
      </c>
      <c r="F405" s="1" t="s">
        <v>33</v>
      </c>
      <c r="G405" s="1" t="s">
        <v>43</v>
      </c>
      <c r="H405" s="1">
        <v>7500</v>
      </c>
      <c r="I405" s="1">
        <v>1</v>
      </c>
      <c r="J405" s="1">
        <v>0.1</v>
      </c>
      <c r="K405" s="1">
        <v>6750</v>
      </c>
      <c r="L405" s="1">
        <v>1670.08</v>
      </c>
      <c r="M405" s="8">
        <f t="shared" ca="1" si="12"/>
        <v>46011.04483136574</v>
      </c>
      <c r="N405" s="9" t="str">
        <f t="shared" si="13"/>
        <v>Mar</v>
      </c>
    </row>
    <row r="406" spans="1:14" x14ac:dyDescent="0.3">
      <c r="A406" s="1">
        <v>1405</v>
      </c>
      <c r="B406" s="2">
        <v>45318</v>
      </c>
      <c r="C406" s="1" t="s">
        <v>12</v>
      </c>
      <c r="D406" s="1" t="s">
        <v>13</v>
      </c>
      <c r="E406" s="1" t="s">
        <v>14</v>
      </c>
      <c r="F406" s="1" t="s">
        <v>15</v>
      </c>
      <c r="G406" s="1" t="s">
        <v>16</v>
      </c>
      <c r="H406" s="1">
        <v>3000</v>
      </c>
      <c r="I406" s="1">
        <v>1</v>
      </c>
      <c r="J406" s="1">
        <v>0.1</v>
      </c>
      <c r="K406" s="1">
        <v>2700</v>
      </c>
      <c r="L406" s="1">
        <v>585.86</v>
      </c>
      <c r="M406" s="8">
        <f t="shared" ca="1" si="12"/>
        <v>46011.04483136574</v>
      </c>
      <c r="N406" s="9" t="str">
        <f t="shared" si="13"/>
        <v>Jan</v>
      </c>
    </row>
    <row r="407" spans="1:14" x14ac:dyDescent="0.3">
      <c r="A407" s="1">
        <v>1406</v>
      </c>
      <c r="B407" s="2">
        <v>45471</v>
      </c>
      <c r="C407" s="1" t="s">
        <v>25</v>
      </c>
      <c r="D407" s="1" t="s">
        <v>26</v>
      </c>
      <c r="E407" s="1" t="s">
        <v>19</v>
      </c>
      <c r="F407" s="1" t="s">
        <v>15</v>
      </c>
      <c r="G407" s="1" t="s">
        <v>35</v>
      </c>
      <c r="H407" s="1">
        <v>55000</v>
      </c>
      <c r="I407" s="1">
        <v>4</v>
      </c>
      <c r="J407" s="1">
        <v>0.15</v>
      </c>
      <c r="K407" s="1">
        <v>187000</v>
      </c>
      <c r="L407" s="1">
        <v>43238.61</v>
      </c>
      <c r="M407" s="8">
        <f t="shared" ca="1" si="12"/>
        <v>46011.04483136574</v>
      </c>
      <c r="N407" s="9" t="str">
        <f t="shared" si="13"/>
        <v>Jun</v>
      </c>
    </row>
    <row r="408" spans="1:14" x14ac:dyDescent="0.3">
      <c r="A408" s="1">
        <v>1407</v>
      </c>
      <c r="B408" s="2">
        <v>45364</v>
      </c>
      <c r="C408" s="1" t="s">
        <v>41</v>
      </c>
      <c r="D408" s="1" t="s">
        <v>42</v>
      </c>
      <c r="E408" s="1" t="s">
        <v>32</v>
      </c>
      <c r="F408" s="1" t="s">
        <v>33</v>
      </c>
      <c r="G408" s="1" t="s">
        <v>34</v>
      </c>
      <c r="H408" s="1">
        <v>9500</v>
      </c>
      <c r="I408" s="1">
        <v>5</v>
      </c>
      <c r="J408" s="1">
        <v>0.1</v>
      </c>
      <c r="K408" s="1">
        <v>42750</v>
      </c>
      <c r="L408" s="1">
        <v>12863.24</v>
      </c>
      <c r="M408" s="8">
        <f t="shared" ca="1" si="12"/>
        <v>46011.04483136574</v>
      </c>
      <c r="N408" s="9" t="str">
        <f t="shared" si="13"/>
        <v>Mar</v>
      </c>
    </row>
    <row r="409" spans="1:14" x14ac:dyDescent="0.3">
      <c r="A409" s="1">
        <v>1408</v>
      </c>
      <c r="B409" s="2">
        <v>45408</v>
      </c>
      <c r="C409" s="1" t="s">
        <v>41</v>
      </c>
      <c r="D409" s="1" t="s">
        <v>42</v>
      </c>
      <c r="E409" s="1" t="s">
        <v>29</v>
      </c>
      <c r="F409" s="1" t="s">
        <v>33</v>
      </c>
      <c r="G409" s="1" t="s">
        <v>34</v>
      </c>
      <c r="H409" s="1">
        <v>9500</v>
      </c>
      <c r="I409" s="1">
        <v>1</v>
      </c>
      <c r="J409" s="1">
        <v>0.1</v>
      </c>
      <c r="K409" s="1">
        <v>8550</v>
      </c>
      <c r="L409" s="1">
        <v>2272.65</v>
      </c>
      <c r="M409" s="8">
        <f t="shared" ca="1" si="12"/>
        <v>46011.04483136574</v>
      </c>
      <c r="N409" s="9" t="str">
        <f t="shared" si="13"/>
        <v>Apr</v>
      </c>
    </row>
    <row r="410" spans="1:14" x14ac:dyDescent="0.3">
      <c r="A410" s="1">
        <v>1409</v>
      </c>
      <c r="B410" s="2">
        <v>45411</v>
      </c>
      <c r="C410" s="1" t="s">
        <v>48</v>
      </c>
      <c r="D410" s="1" t="s">
        <v>49</v>
      </c>
      <c r="E410" s="1" t="s">
        <v>19</v>
      </c>
      <c r="F410" s="1" t="s">
        <v>15</v>
      </c>
      <c r="G410" s="1" t="s">
        <v>24</v>
      </c>
      <c r="H410" s="1">
        <v>22000</v>
      </c>
      <c r="I410" s="1">
        <v>5</v>
      </c>
      <c r="J410" s="1">
        <v>0.15</v>
      </c>
      <c r="K410" s="1">
        <v>93500</v>
      </c>
      <c r="L410" s="1">
        <v>22781.58</v>
      </c>
      <c r="M410" s="8">
        <f t="shared" ca="1" si="12"/>
        <v>46011.04483136574</v>
      </c>
      <c r="N410" s="9" t="str">
        <f t="shared" si="13"/>
        <v>Apr</v>
      </c>
    </row>
    <row r="411" spans="1:14" x14ac:dyDescent="0.3">
      <c r="A411" s="1">
        <v>1410</v>
      </c>
      <c r="B411" s="2">
        <v>45440</v>
      </c>
      <c r="C411" s="1" t="s">
        <v>50</v>
      </c>
      <c r="D411" s="1" t="s">
        <v>51</v>
      </c>
      <c r="E411" s="1" t="s">
        <v>29</v>
      </c>
      <c r="F411" s="1" t="s">
        <v>15</v>
      </c>
      <c r="G411" s="1" t="s">
        <v>24</v>
      </c>
      <c r="H411" s="1">
        <v>22000</v>
      </c>
      <c r="I411" s="1">
        <v>3</v>
      </c>
      <c r="J411" s="1">
        <v>0.05</v>
      </c>
      <c r="K411" s="1">
        <v>62700</v>
      </c>
      <c r="L411" s="1">
        <v>11852.79</v>
      </c>
      <c r="M411" s="8">
        <f t="shared" ca="1" si="12"/>
        <v>46011.04483136574</v>
      </c>
      <c r="N411" s="9" t="str">
        <f t="shared" si="13"/>
        <v>May</v>
      </c>
    </row>
    <row r="412" spans="1:14" x14ac:dyDescent="0.3">
      <c r="A412" s="1">
        <v>1411</v>
      </c>
      <c r="B412" s="2">
        <v>45397</v>
      </c>
      <c r="C412" s="1" t="s">
        <v>17</v>
      </c>
      <c r="D412" s="1" t="s">
        <v>18</v>
      </c>
      <c r="E412" s="1" t="s">
        <v>32</v>
      </c>
      <c r="F412" s="1" t="s">
        <v>15</v>
      </c>
      <c r="G412" s="1" t="s">
        <v>35</v>
      </c>
      <c r="H412" s="1">
        <v>55000</v>
      </c>
      <c r="I412" s="1">
        <v>5</v>
      </c>
      <c r="J412" s="1">
        <v>0.1</v>
      </c>
      <c r="K412" s="1">
        <v>247500</v>
      </c>
      <c r="L412" s="1">
        <v>57070.63</v>
      </c>
      <c r="M412" s="8">
        <f t="shared" ca="1" si="12"/>
        <v>46011.04483136574</v>
      </c>
      <c r="N412" s="9" t="str">
        <f t="shared" si="13"/>
        <v>Apr</v>
      </c>
    </row>
    <row r="413" spans="1:14" x14ac:dyDescent="0.3">
      <c r="A413" s="1">
        <v>1412</v>
      </c>
      <c r="B413" s="2">
        <v>45324</v>
      </c>
      <c r="C413" s="1" t="s">
        <v>48</v>
      </c>
      <c r="D413" s="1" t="s">
        <v>49</v>
      </c>
      <c r="E413" s="1" t="s">
        <v>14</v>
      </c>
      <c r="F413" s="1" t="s">
        <v>15</v>
      </c>
      <c r="G413" s="1" t="s">
        <v>44</v>
      </c>
      <c r="H413" s="1">
        <v>18000</v>
      </c>
      <c r="I413" s="1">
        <v>5</v>
      </c>
      <c r="J413" s="1">
        <v>0.1</v>
      </c>
      <c r="K413" s="1">
        <v>81000</v>
      </c>
      <c r="L413" s="1">
        <v>19003.18</v>
      </c>
      <c r="M413" s="8">
        <f t="shared" ca="1" si="12"/>
        <v>46011.04483136574</v>
      </c>
      <c r="N413" s="9" t="str">
        <f t="shared" si="13"/>
        <v>Feb</v>
      </c>
    </row>
    <row r="414" spans="1:14" x14ac:dyDescent="0.3">
      <c r="A414" s="1">
        <v>1413</v>
      </c>
      <c r="B414" s="2">
        <v>45415</v>
      </c>
      <c r="C414" s="1" t="s">
        <v>36</v>
      </c>
      <c r="D414" s="1" t="s">
        <v>37</v>
      </c>
      <c r="E414" s="1" t="s">
        <v>19</v>
      </c>
      <c r="F414" s="1" t="s">
        <v>15</v>
      </c>
      <c r="G414" s="1" t="s">
        <v>16</v>
      </c>
      <c r="H414" s="1">
        <v>3000</v>
      </c>
      <c r="I414" s="1">
        <v>5</v>
      </c>
      <c r="J414" s="1">
        <v>0</v>
      </c>
      <c r="K414" s="1">
        <v>15000</v>
      </c>
      <c r="L414" s="1">
        <v>2505.23</v>
      </c>
      <c r="M414" s="8">
        <f t="shared" ca="1" si="12"/>
        <v>46011.04483136574</v>
      </c>
      <c r="N414" s="9" t="str">
        <f t="shared" si="13"/>
        <v>May</v>
      </c>
    </row>
    <row r="415" spans="1:14" x14ac:dyDescent="0.3">
      <c r="A415" s="1">
        <v>1414</v>
      </c>
      <c r="B415" s="2">
        <v>45297</v>
      </c>
      <c r="C415" s="1" t="s">
        <v>30</v>
      </c>
      <c r="D415" s="1" t="s">
        <v>31</v>
      </c>
      <c r="E415" s="1" t="s">
        <v>32</v>
      </c>
      <c r="F415" s="1" t="s">
        <v>15</v>
      </c>
      <c r="G415" s="1" t="s">
        <v>16</v>
      </c>
      <c r="H415" s="1">
        <v>3000</v>
      </c>
      <c r="I415" s="1">
        <v>2</v>
      </c>
      <c r="J415" s="1">
        <v>0.05</v>
      </c>
      <c r="K415" s="1">
        <v>5700</v>
      </c>
      <c r="L415" s="1">
        <v>1709.22</v>
      </c>
      <c r="M415" s="8">
        <f t="shared" ca="1" si="12"/>
        <v>46011.04483136574</v>
      </c>
      <c r="N415" s="9" t="str">
        <f t="shared" si="13"/>
        <v>Jan</v>
      </c>
    </row>
    <row r="416" spans="1:14" x14ac:dyDescent="0.3">
      <c r="A416" s="1">
        <v>1415</v>
      </c>
      <c r="B416" s="2">
        <v>45372</v>
      </c>
      <c r="C416" s="1" t="s">
        <v>27</v>
      </c>
      <c r="D416" s="1" t="s">
        <v>28</v>
      </c>
      <c r="E416" s="1" t="s">
        <v>14</v>
      </c>
      <c r="F416" s="1" t="s">
        <v>15</v>
      </c>
      <c r="G416" s="1" t="s">
        <v>44</v>
      </c>
      <c r="H416" s="1">
        <v>18000</v>
      </c>
      <c r="I416" s="1">
        <v>5</v>
      </c>
      <c r="J416" s="1">
        <v>0.1</v>
      </c>
      <c r="K416" s="1">
        <v>81000</v>
      </c>
      <c r="L416" s="1">
        <v>19341.509999999998</v>
      </c>
      <c r="M416" s="8">
        <f t="shared" ca="1" si="12"/>
        <v>46011.04483136574</v>
      </c>
      <c r="N416" s="9" t="str">
        <f t="shared" si="13"/>
        <v>Mar</v>
      </c>
    </row>
    <row r="417" spans="1:14" x14ac:dyDescent="0.3">
      <c r="A417" s="1">
        <v>1416</v>
      </c>
      <c r="B417" s="2">
        <v>45307</v>
      </c>
      <c r="C417" s="1" t="s">
        <v>36</v>
      </c>
      <c r="D417" s="1" t="s">
        <v>37</v>
      </c>
      <c r="E417" s="1" t="s">
        <v>32</v>
      </c>
      <c r="F417" s="1" t="s">
        <v>15</v>
      </c>
      <c r="G417" s="1" t="s">
        <v>24</v>
      </c>
      <c r="H417" s="1">
        <v>22000</v>
      </c>
      <c r="I417" s="1">
        <v>5</v>
      </c>
      <c r="J417" s="1">
        <v>0.1</v>
      </c>
      <c r="K417" s="1">
        <v>99000</v>
      </c>
      <c r="L417" s="1">
        <v>17736.54</v>
      </c>
      <c r="M417" s="8">
        <f t="shared" ca="1" si="12"/>
        <v>46011.04483136574</v>
      </c>
      <c r="N417" s="9" t="str">
        <f t="shared" si="13"/>
        <v>Jan</v>
      </c>
    </row>
    <row r="418" spans="1:14" x14ac:dyDescent="0.3">
      <c r="A418" s="1">
        <v>1417</v>
      </c>
      <c r="B418" s="2">
        <v>45296</v>
      </c>
      <c r="C418" s="1" t="s">
        <v>36</v>
      </c>
      <c r="D418" s="1" t="s">
        <v>37</v>
      </c>
      <c r="E418" s="1" t="s">
        <v>19</v>
      </c>
      <c r="F418" s="1" t="s">
        <v>15</v>
      </c>
      <c r="G418" s="1" t="s">
        <v>16</v>
      </c>
      <c r="H418" s="1">
        <v>3000</v>
      </c>
      <c r="I418" s="1">
        <v>4</v>
      </c>
      <c r="J418" s="1">
        <v>0.05</v>
      </c>
      <c r="K418" s="1">
        <v>11400</v>
      </c>
      <c r="L418" s="1">
        <v>2300.66</v>
      </c>
      <c r="M418" s="8">
        <f t="shared" ca="1" si="12"/>
        <v>46011.04483136574</v>
      </c>
      <c r="N418" s="9" t="str">
        <f t="shared" si="13"/>
        <v>Jan</v>
      </c>
    </row>
    <row r="419" spans="1:14" x14ac:dyDescent="0.3">
      <c r="A419" s="1">
        <v>1418</v>
      </c>
      <c r="B419" s="2">
        <v>45323</v>
      </c>
      <c r="C419" s="1" t="s">
        <v>25</v>
      </c>
      <c r="D419" s="1" t="s">
        <v>26</v>
      </c>
      <c r="E419" s="1" t="s">
        <v>32</v>
      </c>
      <c r="F419" s="1" t="s">
        <v>15</v>
      </c>
      <c r="G419" s="1" t="s">
        <v>24</v>
      </c>
      <c r="H419" s="1">
        <v>22000</v>
      </c>
      <c r="I419" s="1">
        <v>1</v>
      </c>
      <c r="J419" s="1">
        <v>0</v>
      </c>
      <c r="K419" s="1">
        <v>22000</v>
      </c>
      <c r="L419" s="1">
        <v>4041.83</v>
      </c>
      <c r="M419" s="8">
        <f t="shared" ca="1" si="12"/>
        <v>46011.04483136574</v>
      </c>
      <c r="N419" s="9" t="str">
        <f t="shared" si="13"/>
        <v>Feb</v>
      </c>
    </row>
    <row r="420" spans="1:14" x14ac:dyDescent="0.3">
      <c r="A420" s="1">
        <v>1419</v>
      </c>
      <c r="B420" s="2">
        <v>45426</v>
      </c>
      <c r="C420" s="1" t="s">
        <v>22</v>
      </c>
      <c r="D420" s="1" t="s">
        <v>23</v>
      </c>
      <c r="E420" s="1" t="s">
        <v>29</v>
      </c>
      <c r="F420" s="1" t="s">
        <v>20</v>
      </c>
      <c r="G420" s="1" t="s">
        <v>45</v>
      </c>
      <c r="H420" s="1">
        <v>500</v>
      </c>
      <c r="I420" s="1">
        <v>2</v>
      </c>
      <c r="J420" s="1">
        <v>0</v>
      </c>
      <c r="K420" s="1">
        <v>1000</v>
      </c>
      <c r="L420" s="1">
        <v>209.27</v>
      </c>
      <c r="M420" s="8">
        <f t="shared" ca="1" si="12"/>
        <v>46011.04483136574</v>
      </c>
      <c r="N420" s="9" t="str">
        <f t="shared" si="13"/>
        <v>May</v>
      </c>
    </row>
    <row r="421" spans="1:14" x14ac:dyDescent="0.3">
      <c r="A421" s="1">
        <v>1420</v>
      </c>
      <c r="B421" s="2">
        <v>45334</v>
      </c>
      <c r="C421" s="1" t="s">
        <v>30</v>
      </c>
      <c r="D421" s="1" t="s">
        <v>31</v>
      </c>
      <c r="E421" s="1" t="s">
        <v>19</v>
      </c>
      <c r="F421" s="1" t="s">
        <v>15</v>
      </c>
      <c r="G421" s="1" t="s">
        <v>16</v>
      </c>
      <c r="H421" s="1">
        <v>3000</v>
      </c>
      <c r="I421" s="1">
        <v>5</v>
      </c>
      <c r="J421" s="1">
        <v>0.05</v>
      </c>
      <c r="K421" s="1">
        <v>14250</v>
      </c>
      <c r="L421" s="1">
        <v>3518.57</v>
      </c>
      <c r="M421" s="8">
        <f t="shared" ca="1" si="12"/>
        <v>46011.04483136574</v>
      </c>
      <c r="N421" s="9" t="str">
        <f t="shared" si="13"/>
        <v>Feb</v>
      </c>
    </row>
    <row r="422" spans="1:14" x14ac:dyDescent="0.3">
      <c r="A422" s="1">
        <v>1421</v>
      </c>
      <c r="B422" s="2">
        <v>45381</v>
      </c>
      <c r="C422" s="1" t="s">
        <v>12</v>
      </c>
      <c r="D422" s="1" t="s">
        <v>13</v>
      </c>
      <c r="E422" s="1" t="s">
        <v>19</v>
      </c>
      <c r="F422" s="1" t="s">
        <v>15</v>
      </c>
      <c r="G422" s="1" t="s">
        <v>16</v>
      </c>
      <c r="H422" s="1">
        <v>3000</v>
      </c>
      <c r="I422" s="1">
        <v>1</v>
      </c>
      <c r="J422" s="1">
        <v>0</v>
      </c>
      <c r="K422" s="1">
        <v>3000</v>
      </c>
      <c r="L422" s="1">
        <v>628.82000000000005</v>
      </c>
      <c r="M422" s="8">
        <f t="shared" ca="1" si="12"/>
        <v>46011.04483136574</v>
      </c>
      <c r="N422" s="9" t="str">
        <f t="shared" si="13"/>
        <v>Mar</v>
      </c>
    </row>
    <row r="423" spans="1:14" x14ac:dyDescent="0.3">
      <c r="A423" s="1">
        <v>1422</v>
      </c>
      <c r="B423" s="2">
        <v>45307</v>
      </c>
      <c r="C423" s="1" t="s">
        <v>25</v>
      </c>
      <c r="D423" s="1" t="s">
        <v>26</v>
      </c>
      <c r="E423" s="1" t="s">
        <v>19</v>
      </c>
      <c r="F423" s="1" t="s">
        <v>15</v>
      </c>
      <c r="G423" s="1" t="s">
        <v>24</v>
      </c>
      <c r="H423" s="1">
        <v>22000</v>
      </c>
      <c r="I423" s="1">
        <v>2</v>
      </c>
      <c r="J423" s="1">
        <v>0.05</v>
      </c>
      <c r="K423" s="1">
        <v>41800</v>
      </c>
      <c r="L423" s="1">
        <v>13331.64</v>
      </c>
      <c r="M423" s="8">
        <f t="shared" ca="1" si="12"/>
        <v>46011.04483136574</v>
      </c>
      <c r="N423" s="9" t="str">
        <f t="shared" si="13"/>
        <v>Jan</v>
      </c>
    </row>
    <row r="424" spans="1:14" x14ac:dyDescent="0.3">
      <c r="A424" s="1">
        <v>1423</v>
      </c>
      <c r="B424" s="2">
        <v>45384</v>
      </c>
      <c r="C424" s="1" t="s">
        <v>12</v>
      </c>
      <c r="D424" s="1" t="s">
        <v>13</v>
      </c>
      <c r="E424" s="1" t="s">
        <v>29</v>
      </c>
      <c r="F424" s="1" t="s">
        <v>15</v>
      </c>
      <c r="G424" s="1" t="s">
        <v>44</v>
      </c>
      <c r="H424" s="1">
        <v>18000</v>
      </c>
      <c r="I424" s="1">
        <v>4</v>
      </c>
      <c r="J424" s="1">
        <v>0.15</v>
      </c>
      <c r="K424" s="1">
        <v>61200</v>
      </c>
      <c r="L424" s="1">
        <v>14152.38</v>
      </c>
      <c r="M424" s="8">
        <f t="shared" ca="1" si="12"/>
        <v>46011.04483136574</v>
      </c>
      <c r="N424" s="9" t="str">
        <f t="shared" si="13"/>
        <v>Apr</v>
      </c>
    </row>
    <row r="425" spans="1:14" x14ac:dyDescent="0.3">
      <c r="A425" s="1">
        <v>1424</v>
      </c>
      <c r="B425" s="2">
        <v>45456</v>
      </c>
      <c r="C425" s="1" t="s">
        <v>22</v>
      </c>
      <c r="D425" s="1" t="s">
        <v>23</v>
      </c>
      <c r="E425" s="1" t="s">
        <v>32</v>
      </c>
      <c r="F425" s="1" t="s">
        <v>20</v>
      </c>
      <c r="G425" s="1" t="s">
        <v>38</v>
      </c>
      <c r="H425" s="1">
        <v>350</v>
      </c>
      <c r="I425" s="1">
        <v>4</v>
      </c>
      <c r="J425" s="1">
        <v>0.1</v>
      </c>
      <c r="K425" s="1">
        <v>1260</v>
      </c>
      <c r="L425" s="1">
        <v>301.64999999999998</v>
      </c>
      <c r="M425" s="8">
        <f t="shared" ca="1" si="12"/>
        <v>46011.04483136574</v>
      </c>
      <c r="N425" s="9" t="str">
        <f t="shared" si="13"/>
        <v>Jun</v>
      </c>
    </row>
    <row r="426" spans="1:14" x14ac:dyDescent="0.3">
      <c r="A426" s="1">
        <v>1425</v>
      </c>
      <c r="B426" s="2">
        <v>45398</v>
      </c>
      <c r="C426" s="1" t="s">
        <v>12</v>
      </c>
      <c r="D426" s="1" t="s">
        <v>13</v>
      </c>
      <c r="E426" s="1" t="s">
        <v>14</v>
      </c>
      <c r="F426" s="1" t="s">
        <v>20</v>
      </c>
      <c r="G426" s="1" t="s">
        <v>45</v>
      </c>
      <c r="H426" s="1">
        <v>500</v>
      </c>
      <c r="I426" s="1">
        <v>3</v>
      </c>
      <c r="J426" s="1">
        <v>0</v>
      </c>
      <c r="K426" s="1">
        <v>1500</v>
      </c>
      <c r="L426" s="1">
        <v>393.38</v>
      </c>
      <c r="M426" s="8">
        <f t="shared" ca="1" si="12"/>
        <v>46011.04483136574</v>
      </c>
      <c r="N426" s="9" t="str">
        <f t="shared" si="13"/>
        <v>Apr</v>
      </c>
    </row>
    <row r="427" spans="1:14" x14ac:dyDescent="0.3">
      <c r="A427" s="1">
        <v>1426</v>
      </c>
      <c r="B427" s="2">
        <v>45357</v>
      </c>
      <c r="C427" s="1" t="s">
        <v>36</v>
      </c>
      <c r="D427" s="1" t="s">
        <v>37</v>
      </c>
      <c r="E427" s="1" t="s">
        <v>14</v>
      </c>
      <c r="F427" s="1" t="s">
        <v>33</v>
      </c>
      <c r="G427" s="1" t="s">
        <v>43</v>
      </c>
      <c r="H427" s="1">
        <v>7500</v>
      </c>
      <c r="I427" s="1">
        <v>1</v>
      </c>
      <c r="J427" s="1">
        <v>0</v>
      </c>
      <c r="K427" s="1">
        <v>7500</v>
      </c>
      <c r="L427" s="1">
        <v>1825.56</v>
      </c>
      <c r="M427" s="8">
        <f t="shared" ca="1" si="12"/>
        <v>46011.04483136574</v>
      </c>
      <c r="N427" s="9" t="str">
        <f t="shared" si="13"/>
        <v>Mar</v>
      </c>
    </row>
    <row r="428" spans="1:14" x14ac:dyDescent="0.3">
      <c r="A428" s="1">
        <v>1427</v>
      </c>
      <c r="B428" s="2">
        <v>45317</v>
      </c>
      <c r="C428" s="1" t="s">
        <v>48</v>
      </c>
      <c r="D428" s="1" t="s">
        <v>49</v>
      </c>
      <c r="E428" s="1" t="s">
        <v>32</v>
      </c>
      <c r="F428" s="1" t="s">
        <v>20</v>
      </c>
      <c r="G428" s="1" t="s">
        <v>38</v>
      </c>
      <c r="H428" s="1">
        <v>350</v>
      </c>
      <c r="I428" s="1">
        <v>4</v>
      </c>
      <c r="J428" s="1">
        <v>0</v>
      </c>
      <c r="K428" s="1">
        <v>1400</v>
      </c>
      <c r="L428" s="1">
        <v>364.19</v>
      </c>
      <c r="M428" s="8">
        <f t="shared" ca="1" si="12"/>
        <v>46011.04483136574</v>
      </c>
      <c r="N428" s="9" t="str">
        <f t="shared" si="13"/>
        <v>Jan</v>
      </c>
    </row>
    <row r="429" spans="1:14" x14ac:dyDescent="0.3">
      <c r="A429" s="1">
        <v>1428</v>
      </c>
      <c r="B429" s="2">
        <v>45368</v>
      </c>
      <c r="C429" s="1" t="s">
        <v>25</v>
      </c>
      <c r="D429" s="1" t="s">
        <v>26</v>
      </c>
      <c r="E429" s="1" t="s">
        <v>19</v>
      </c>
      <c r="F429" s="1" t="s">
        <v>15</v>
      </c>
      <c r="G429" s="1" t="s">
        <v>16</v>
      </c>
      <c r="H429" s="1">
        <v>3000</v>
      </c>
      <c r="I429" s="1">
        <v>1</v>
      </c>
      <c r="J429" s="1">
        <v>0.15</v>
      </c>
      <c r="K429" s="1">
        <v>2550</v>
      </c>
      <c r="L429" s="1">
        <v>706.42</v>
      </c>
      <c r="M429" s="8">
        <f t="shared" ca="1" si="12"/>
        <v>46011.04483136574</v>
      </c>
      <c r="N429" s="9" t="str">
        <f t="shared" si="13"/>
        <v>Mar</v>
      </c>
    </row>
    <row r="430" spans="1:14" x14ac:dyDescent="0.3">
      <c r="A430" s="1">
        <v>1429</v>
      </c>
      <c r="B430" s="2">
        <v>45342</v>
      </c>
      <c r="C430" s="1" t="s">
        <v>22</v>
      </c>
      <c r="D430" s="1" t="s">
        <v>23</v>
      </c>
      <c r="E430" s="1" t="s">
        <v>29</v>
      </c>
      <c r="F430" s="1" t="s">
        <v>15</v>
      </c>
      <c r="G430" s="1" t="s">
        <v>35</v>
      </c>
      <c r="H430" s="1">
        <v>55000</v>
      </c>
      <c r="I430" s="1">
        <v>3</v>
      </c>
      <c r="J430" s="1">
        <v>0.05</v>
      </c>
      <c r="K430" s="1">
        <v>156750</v>
      </c>
      <c r="L430" s="1">
        <v>28488.66</v>
      </c>
      <c r="M430" s="8">
        <f t="shared" ca="1" si="12"/>
        <v>46011.04483136574</v>
      </c>
      <c r="N430" s="9" t="str">
        <f t="shared" si="13"/>
        <v>Feb</v>
      </c>
    </row>
    <row r="431" spans="1:14" x14ac:dyDescent="0.3">
      <c r="A431" s="1">
        <v>1430</v>
      </c>
      <c r="B431" s="2">
        <v>45395</v>
      </c>
      <c r="C431" s="1" t="s">
        <v>25</v>
      </c>
      <c r="D431" s="1" t="s">
        <v>26</v>
      </c>
      <c r="E431" s="1" t="s">
        <v>29</v>
      </c>
      <c r="F431" s="1" t="s">
        <v>15</v>
      </c>
      <c r="G431" s="1" t="s">
        <v>24</v>
      </c>
      <c r="H431" s="1">
        <v>22000</v>
      </c>
      <c r="I431" s="1">
        <v>2</v>
      </c>
      <c r="J431" s="1">
        <v>0.15</v>
      </c>
      <c r="K431" s="1">
        <v>37400</v>
      </c>
      <c r="L431" s="1">
        <v>7118.86</v>
      </c>
      <c r="M431" s="8">
        <f t="shared" ca="1" si="12"/>
        <v>46011.04483136574</v>
      </c>
      <c r="N431" s="9" t="str">
        <f t="shared" si="13"/>
        <v>Apr</v>
      </c>
    </row>
    <row r="432" spans="1:14" x14ac:dyDescent="0.3">
      <c r="A432" s="1">
        <v>1431</v>
      </c>
      <c r="B432" s="2">
        <v>45357</v>
      </c>
      <c r="C432" s="1" t="s">
        <v>50</v>
      </c>
      <c r="D432" s="1" t="s">
        <v>51</v>
      </c>
      <c r="E432" s="1" t="s">
        <v>19</v>
      </c>
      <c r="F432" s="1" t="s">
        <v>33</v>
      </c>
      <c r="G432" s="1" t="s">
        <v>34</v>
      </c>
      <c r="H432" s="1">
        <v>9500</v>
      </c>
      <c r="I432" s="1">
        <v>5</v>
      </c>
      <c r="J432" s="1">
        <v>0.15</v>
      </c>
      <c r="K432" s="1">
        <v>40375</v>
      </c>
      <c r="L432" s="1">
        <v>13592.35</v>
      </c>
      <c r="M432" s="8">
        <f t="shared" ca="1" si="12"/>
        <v>46011.04483136574</v>
      </c>
      <c r="N432" s="9" t="str">
        <f t="shared" si="13"/>
        <v>Mar</v>
      </c>
    </row>
    <row r="433" spans="1:14" x14ac:dyDescent="0.3">
      <c r="A433" s="1">
        <v>1432</v>
      </c>
      <c r="B433" s="2">
        <v>45311</v>
      </c>
      <c r="C433" s="1" t="s">
        <v>30</v>
      </c>
      <c r="D433" s="1" t="s">
        <v>31</v>
      </c>
      <c r="E433" s="1" t="s">
        <v>19</v>
      </c>
      <c r="F433" s="1" t="s">
        <v>15</v>
      </c>
      <c r="G433" s="1" t="s">
        <v>16</v>
      </c>
      <c r="H433" s="1">
        <v>3000</v>
      </c>
      <c r="I433" s="1">
        <v>2</v>
      </c>
      <c r="J433" s="1">
        <v>0.1</v>
      </c>
      <c r="K433" s="1">
        <v>5400</v>
      </c>
      <c r="L433" s="1">
        <v>1745.2</v>
      </c>
      <c r="M433" s="8">
        <f t="shared" ca="1" si="12"/>
        <v>46011.04483136574</v>
      </c>
      <c r="N433" s="9" t="str">
        <f t="shared" si="13"/>
        <v>Jan</v>
      </c>
    </row>
    <row r="434" spans="1:14" x14ac:dyDescent="0.3">
      <c r="A434" s="1">
        <v>1433</v>
      </c>
      <c r="B434" s="2">
        <v>45293</v>
      </c>
      <c r="C434" s="1" t="s">
        <v>25</v>
      </c>
      <c r="D434" s="1" t="s">
        <v>26</v>
      </c>
      <c r="E434" s="1" t="s">
        <v>32</v>
      </c>
      <c r="F434" s="1" t="s">
        <v>15</v>
      </c>
      <c r="G434" s="1" t="s">
        <v>16</v>
      </c>
      <c r="H434" s="1">
        <v>3000</v>
      </c>
      <c r="I434" s="1">
        <v>1</v>
      </c>
      <c r="J434" s="1">
        <v>0</v>
      </c>
      <c r="K434" s="1">
        <v>3000</v>
      </c>
      <c r="L434" s="1">
        <v>769.01</v>
      </c>
      <c r="M434" s="8">
        <f t="shared" ca="1" si="12"/>
        <v>46011.04483136574</v>
      </c>
      <c r="N434" s="9" t="str">
        <f t="shared" si="13"/>
        <v>Jan</v>
      </c>
    </row>
    <row r="435" spans="1:14" x14ac:dyDescent="0.3">
      <c r="A435" s="1">
        <v>1434</v>
      </c>
      <c r="B435" s="2">
        <v>45452</v>
      </c>
      <c r="C435" s="1" t="s">
        <v>36</v>
      </c>
      <c r="D435" s="1" t="s">
        <v>37</v>
      </c>
      <c r="E435" s="1" t="s">
        <v>19</v>
      </c>
      <c r="F435" s="1" t="s">
        <v>15</v>
      </c>
      <c r="G435" s="1" t="s">
        <v>24</v>
      </c>
      <c r="H435" s="1">
        <v>22000</v>
      </c>
      <c r="I435" s="1">
        <v>1</v>
      </c>
      <c r="J435" s="1">
        <v>0.15</v>
      </c>
      <c r="K435" s="1">
        <v>18700</v>
      </c>
      <c r="L435" s="1">
        <v>3421.71</v>
      </c>
      <c r="M435" s="8">
        <f t="shared" ca="1" si="12"/>
        <v>46011.04483136574</v>
      </c>
      <c r="N435" s="9" t="str">
        <f t="shared" si="13"/>
        <v>Jun</v>
      </c>
    </row>
    <row r="436" spans="1:14" x14ac:dyDescent="0.3">
      <c r="A436" s="1">
        <v>1435</v>
      </c>
      <c r="B436" s="2">
        <v>45434</v>
      </c>
      <c r="C436" s="1" t="s">
        <v>39</v>
      </c>
      <c r="D436" s="1" t="s">
        <v>40</v>
      </c>
      <c r="E436" s="1" t="s">
        <v>29</v>
      </c>
      <c r="F436" s="1" t="s">
        <v>20</v>
      </c>
      <c r="G436" s="1" t="s">
        <v>45</v>
      </c>
      <c r="H436" s="1">
        <v>500</v>
      </c>
      <c r="I436" s="1">
        <v>2</v>
      </c>
      <c r="J436" s="1">
        <v>0.05</v>
      </c>
      <c r="K436" s="1">
        <v>950</v>
      </c>
      <c r="L436" s="1">
        <v>199.7</v>
      </c>
      <c r="M436" s="8">
        <f t="shared" ca="1" si="12"/>
        <v>46011.04483136574</v>
      </c>
      <c r="N436" s="9" t="str">
        <f t="shared" si="13"/>
        <v>May</v>
      </c>
    </row>
    <row r="437" spans="1:14" x14ac:dyDescent="0.3">
      <c r="A437" s="1">
        <v>1436</v>
      </c>
      <c r="B437" s="2">
        <v>45431</v>
      </c>
      <c r="C437" s="1" t="s">
        <v>17</v>
      </c>
      <c r="D437" s="1" t="s">
        <v>18</v>
      </c>
      <c r="E437" s="1" t="s">
        <v>19</v>
      </c>
      <c r="F437" s="1" t="s">
        <v>20</v>
      </c>
      <c r="G437" s="1" t="s">
        <v>45</v>
      </c>
      <c r="H437" s="1">
        <v>500</v>
      </c>
      <c r="I437" s="1">
        <v>4</v>
      </c>
      <c r="J437" s="1">
        <v>0.1</v>
      </c>
      <c r="K437" s="1">
        <v>1800</v>
      </c>
      <c r="L437" s="1">
        <v>519.01</v>
      </c>
      <c r="M437" s="8">
        <f t="shared" ca="1" si="12"/>
        <v>46011.04483136574</v>
      </c>
      <c r="N437" s="9" t="str">
        <f t="shared" si="13"/>
        <v>May</v>
      </c>
    </row>
    <row r="438" spans="1:14" x14ac:dyDescent="0.3">
      <c r="A438" s="1">
        <v>1437</v>
      </c>
      <c r="B438" s="2">
        <v>45345</v>
      </c>
      <c r="C438" s="1" t="s">
        <v>25</v>
      </c>
      <c r="D438" s="1" t="s">
        <v>26</v>
      </c>
      <c r="E438" s="1" t="s">
        <v>19</v>
      </c>
      <c r="F438" s="1" t="s">
        <v>33</v>
      </c>
      <c r="G438" s="1" t="s">
        <v>52</v>
      </c>
      <c r="H438" s="1">
        <v>12000</v>
      </c>
      <c r="I438" s="1">
        <v>5</v>
      </c>
      <c r="J438" s="1">
        <v>0.15</v>
      </c>
      <c r="K438" s="1">
        <v>51000</v>
      </c>
      <c r="L438" s="1">
        <v>15838.6</v>
      </c>
      <c r="M438" s="8">
        <f t="shared" ca="1" si="12"/>
        <v>46011.04483136574</v>
      </c>
      <c r="N438" s="9" t="str">
        <f t="shared" si="13"/>
        <v>Feb</v>
      </c>
    </row>
    <row r="439" spans="1:14" x14ac:dyDescent="0.3">
      <c r="A439" s="1">
        <v>1438</v>
      </c>
      <c r="B439" s="2">
        <v>45471</v>
      </c>
      <c r="C439" s="1" t="s">
        <v>36</v>
      </c>
      <c r="D439" s="1" t="s">
        <v>37</v>
      </c>
      <c r="E439" s="1" t="s">
        <v>19</v>
      </c>
      <c r="F439" s="1" t="s">
        <v>15</v>
      </c>
      <c r="G439" s="1" t="s">
        <v>35</v>
      </c>
      <c r="H439" s="1">
        <v>55000</v>
      </c>
      <c r="I439" s="1">
        <v>1</v>
      </c>
      <c r="J439" s="1">
        <v>0.05</v>
      </c>
      <c r="K439" s="1">
        <v>52250</v>
      </c>
      <c r="L439" s="1">
        <v>10833.03</v>
      </c>
      <c r="M439" s="8">
        <f t="shared" ca="1" si="12"/>
        <v>46011.04483136574</v>
      </c>
      <c r="N439" s="9" t="str">
        <f t="shared" si="13"/>
        <v>Jun</v>
      </c>
    </row>
    <row r="440" spans="1:14" x14ac:dyDescent="0.3">
      <c r="A440" s="1">
        <v>1439</v>
      </c>
      <c r="B440" s="2">
        <v>45410</v>
      </c>
      <c r="C440" s="1" t="s">
        <v>12</v>
      </c>
      <c r="D440" s="1" t="s">
        <v>13</v>
      </c>
      <c r="E440" s="1" t="s">
        <v>14</v>
      </c>
      <c r="F440" s="1" t="s">
        <v>15</v>
      </c>
      <c r="G440" s="1" t="s">
        <v>35</v>
      </c>
      <c r="H440" s="1">
        <v>55000</v>
      </c>
      <c r="I440" s="1">
        <v>4</v>
      </c>
      <c r="J440" s="1">
        <v>0.15</v>
      </c>
      <c r="K440" s="1">
        <v>187000</v>
      </c>
      <c r="L440" s="1">
        <v>29036.75</v>
      </c>
      <c r="M440" s="8">
        <f t="shared" ca="1" si="12"/>
        <v>46011.04483136574</v>
      </c>
      <c r="N440" s="9" t="str">
        <f t="shared" si="13"/>
        <v>Apr</v>
      </c>
    </row>
    <row r="441" spans="1:14" x14ac:dyDescent="0.3">
      <c r="A441" s="1">
        <v>1440</v>
      </c>
      <c r="B441" s="2">
        <v>45320</v>
      </c>
      <c r="C441" s="1" t="s">
        <v>39</v>
      </c>
      <c r="D441" s="1" t="s">
        <v>40</v>
      </c>
      <c r="E441" s="1" t="s">
        <v>14</v>
      </c>
      <c r="F441" s="1" t="s">
        <v>15</v>
      </c>
      <c r="G441" s="1" t="s">
        <v>44</v>
      </c>
      <c r="H441" s="1">
        <v>18000</v>
      </c>
      <c r="I441" s="1">
        <v>2</v>
      </c>
      <c r="J441" s="1">
        <v>0</v>
      </c>
      <c r="K441" s="1">
        <v>36000</v>
      </c>
      <c r="L441" s="1">
        <v>7348.94</v>
      </c>
      <c r="M441" s="8">
        <f t="shared" ca="1" si="12"/>
        <v>46011.04483136574</v>
      </c>
      <c r="N441" s="9" t="str">
        <f t="shared" si="13"/>
        <v>Jan</v>
      </c>
    </row>
    <row r="442" spans="1:14" x14ac:dyDescent="0.3">
      <c r="A442" s="1">
        <v>1441</v>
      </c>
      <c r="B442" s="2">
        <v>45441</v>
      </c>
      <c r="C442" s="1" t="s">
        <v>48</v>
      </c>
      <c r="D442" s="1" t="s">
        <v>49</v>
      </c>
      <c r="E442" s="1" t="s">
        <v>29</v>
      </c>
      <c r="F442" s="1" t="s">
        <v>20</v>
      </c>
      <c r="G442" s="1" t="s">
        <v>45</v>
      </c>
      <c r="H442" s="1">
        <v>500</v>
      </c>
      <c r="I442" s="1">
        <v>4</v>
      </c>
      <c r="J442" s="1">
        <v>0</v>
      </c>
      <c r="K442" s="1">
        <v>2000</v>
      </c>
      <c r="L442" s="1">
        <v>692.82</v>
      </c>
      <c r="M442" s="8">
        <f t="shared" ca="1" si="12"/>
        <v>46011.04483136574</v>
      </c>
      <c r="N442" s="9" t="str">
        <f t="shared" si="13"/>
        <v>May</v>
      </c>
    </row>
    <row r="443" spans="1:14" x14ac:dyDescent="0.3">
      <c r="A443" s="1">
        <v>1442</v>
      </c>
      <c r="B443" s="2">
        <v>45297</v>
      </c>
      <c r="C443" s="1" t="s">
        <v>22</v>
      </c>
      <c r="D443" s="1" t="s">
        <v>23</v>
      </c>
      <c r="E443" s="1" t="s">
        <v>29</v>
      </c>
      <c r="F443" s="1" t="s">
        <v>15</v>
      </c>
      <c r="G443" s="1" t="s">
        <v>24</v>
      </c>
      <c r="H443" s="1">
        <v>22000</v>
      </c>
      <c r="I443" s="1">
        <v>2</v>
      </c>
      <c r="J443" s="1">
        <v>0.05</v>
      </c>
      <c r="K443" s="1">
        <v>41800</v>
      </c>
      <c r="L443" s="1">
        <v>12978.3</v>
      </c>
      <c r="M443" s="8">
        <f t="shared" ca="1" si="12"/>
        <v>46011.04483136574</v>
      </c>
      <c r="N443" s="9" t="str">
        <f t="shared" si="13"/>
        <v>Jan</v>
      </c>
    </row>
    <row r="444" spans="1:14" x14ac:dyDescent="0.3">
      <c r="A444" s="1">
        <v>1443</v>
      </c>
      <c r="B444" s="2">
        <v>45335</v>
      </c>
      <c r="C444" s="1" t="s">
        <v>36</v>
      </c>
      <c r="D444" s="1" t="s">
        <v>37</v>
      </c>
      <c r="E444" s="1" t="s">
        <v>32</v>
      </c>
      <c r="F444" s="1" t="s">
        <v>20</v>
      </c>
      <c r="G444" s="1" t="s">
        <v>21</v>
      </c>
      <c r="H444" s="1">
        <v>200</v>
      </c>
      <c r="I444" s="1">
        <v>5</v>
      </c>
      <c r="J444" s="1">
        <v>0.15</v>
      </c>
      <c r="K444" s="1">
        <v>850</v>
      </c>
      <c r="L444" s="1">
        <v>267</v>
      </c>
      <c r="M444" s="8">
        <f t="shared" ca="1" si="12"/>
        <v>46011.04483136574</v>
      </c>
      <c r="N444" s="9" t="str">
        <f t="shared" si="13"/>
        <v>Feb</v>
      </c>
    </row>
    <row r="445" spans="1:14" x14ac:dyDescent="0.3">
      <c r="A445" s="1">
        <v>1444</v>
      </c>
      <c r="B445" s="2">
        <v>45395</v>
      </c>
      <c r="C445" s="1" t="s">
        <v>27</v>
      </c>
      <c r="D445" s="1" t="s">
        <v>28</v>
      </c>
      <c r="E445" s="1" t="s">
        <v>19</v>
      </c>
      <c r="F445" s="1" t="s">
        <v>15</v>
      </c>
      <c r="G445" s="1" t="s">
        <v>16</v>
      </c>
      <c r="H445" s="1">
        <v>3000</v>
      </c>
      <c r="I445" s="1">
        <v>3</v>
      </c>
      <c r="J445" s="1">
        <v>0</v>
      </c>
      <c r="K445" s="1">
        <v>9000</v>
      </c>
      <c r="L445" s="1">
        <v>2717.13</v>
      </c>
      <c r="M445" s="8">
        <f t="shared" ca="1" si="12"/>
        <v>46011.04483136574</v>
      </c>
      <c r="N445" s="9" t="str">
        <f t="shared" si="13"/>
        <v>Apr</v>
      </c>
    </row>
    <row r="446" spans="1:14" x14ac:dyDescent="0.3">
      <c r="A446" s="1">
        <v>1445</v>
      </c>
      <c r="B446" s="2">
        <v>45347</v>
      </c>
      <c r="C446" s="1" t="s">
        <v>36</v>
      </c>
      <c r="D446" s="1" t="s">
        <v>37</v>
      </c>
      <c r="E446" s="1" t="s">
        <v>19</v>
      </c>
      <c r="F446" s="1" t="s">
        <v>33</v>
      </c>
      <c r="G446" s="1" t="s">
        <v>52</v>
      </c>
      <c r="H446" s="1">
        <v>12000</v>
      </c>
      <c r="I446" s="1">
        <v>1</v>
      </c>
      <c r="J446" s="1">
        <v>0.15</v>
      </c>
      <c r="K446" s="1">
        <v>10200</v>
      </c>
      <c r="L446" s="1">
        <v>1868.86</v>
      </c>
      <c r="M446" s="8">
        <f t="shared" ca="1" si="12"/>
        <v>46011.04483136574</v>
      </c>
      <c r="N446" s="9" t="str">
        <f t="shared" si="13"/>
        <v>Feb</v>
      </c>
    </row>
    <row r="447" spans="1:14" x14ac:dyDescent="0.3">
      <c r="A447" s="1">
        <v>1446</v>
      </c>
      <c r="B447" s="2">
        <v>45455</v>
      </c>
      <c r="C447" s="1" t="s">
        <v>27</v>
      </c>
      <c r="D447" s="1" t="s">
        <v>28</v>
      </c>
      <c r="E447" s="1" t="s">
        <v>32</v>
      </c>
      <c r="F447" s="1" t="s">
        <v>20</v>
      </c>
      <c r="G447" s="1" t="s">
        <v>21</v>
      </c>
      <c r="H447" s="1">
        <v>200</v>
      </c>
      <c r="I447" s="1">
        <v>2</v>
      </c>
      <c r="J447" s="1">
        <v>0.15</v>
      </c>
      <c r="K447" s="1">
        <v>340</v>
      </c>
      <c r="L447" s="1">
        <v>60.71</v>
      </c>
      <c r="M447" s="8">
        <f t="shared" ca="1" si="12"/>
        <v>46011.04483136574</v>
      </c>
      <c r="N447" s="9" t="str">
        <f t="shared" si="13"/>
        <v>Jun</v>
      </c>
    </row>
    <row r="448" spans="1:14" x14ac:dyDescent="0.3">
      <c r="A448" s="1">
        <v>1447</v>
      </c>
      <c r="B448" s="2">
        <v>45316</v>
      </c>
      <c r="C448" s="1" t="s">
        <v>39</v>
      </c>
      <c r="D448" s="1" t="s">
        <v>40</v>
      </c>
      <c r="E448" s="1" t="s">
        <v>14</v>
      </c>
      <c r="F448" s="1" t="s">
        <v>33</v>
      </c>
      <c r="G448" s="1" t="s">
        <v>34</v>
      </c>
      <c r="H448" s="1">
        <v>9500</v>
      </c>
      <c r="I448" s="1">
        <v>2</v>
      </c>
      <c r="J448" s="1">
        <v>0.15</v>
      </c>
      <c r="K448" s="1">
        <v>16150</v>
      </c>
      <c r="L448" s="1">
        <v>3646.66</v>
      </c>
      <c r="M448" s="8">
        <f t="shared" ca="1" si="12"/>
        <v>46011.04483136574</v>
      </c>
      <c r="N448" s="9" t="str">
        <f t="shared" si="13"/>
        <v>Jan</v>
      </c>
    </row>
    <row r="449" spans="1:14" x14ac:dyDescent="0.3">
      <c r="A449" s="1">
        <v>1448</v>
      </c>
      <c r="B449" s="2">
        <v>45447</v>
      </c>
      <c r="C449" s="1" t="s">
        <v>25</v>
      </c>
      <c r="D449" s="1" t="s">
        <v>26</v>
      </c>
      <c r="E449" s="1" t="s">
        <v>19</v>
      </c>
      <c r="F449" s="1" t="s">
        <v>20</v>
      </c>
      <c r="G449" s="1" t="s">
        <v>45</v>
      </c>
      <c r="H449" s="1">
        <v>500</v>
      </c>
      <c r="I449" s="1">
        <v>5</v>
      </c>
      <c r="J449" s="1">
        <v>0.05</v>
      </c>
      <c r="K449" s="1">
        <v>2375</v>
      </c>
      <c r="L449" s="1">
        <v>389.51</v>
      </c>
      <c r="M449" s="8">
        <f t="shared" ca="1" si="12"/>
        <v>46011.04483136574</v>
      </c>
      <c r="N449" s="9" t="str">
        <f t="shared" si="13"/>
        <v>Jun</v>
      </c>
    </row>
    <row r="450" spans="1:14" x14ac:dyDescent="0.3">
      <c r="A450" s="1">
        <v>1449</v>
      </c>
      <c r="B450" s="2">
        <v>45335</v>
      </c>
      <c r="C450" s="1" t="s">
        <v>46</v>
      </c>
      <c r="D450" s="1" t="s">
        <v>47</v>
      </c>
      <c r="E450" s="1" t="s">
        <v>32</v>
      </c>
      <c r="F450" s="1" t="s">
        <v>15</v>
      </c>
      <c r="G450" s="1" t="s">
        <v>16</v>
      </c>
      <c r="H450" s="1">
        <v>3000</v>
      </c>
      <c r="I450" s="1">
        <v>5</v>
      </c>
      <c r="J450" s="1">
        <v>0.05</v>
      </c>
      <c r="K450" s="1">
        <v>14250</v>
      </c>
      <c r="L450" s="1">
        <v>3581.59</v>
      </c>
      <c r="M450" s="8">
        <f t="shared" ca="1" si="12"/>
        <v>46011.04483136574</v>
      </c>
      <c r="N450" s="9" t="str">
        <f t="shared" si="13"/>
        <v>Feb</v>
      </c>
    </row>
    <row r="451" spans="1:14" x14ac:dyDescent="0.3">
      <c r="A451" s="1">
        <v>1450</v>
      </c>
      <c r="B451" s="2">
        <v>45317</v>
      </c>
      <c r="C451" s="1" t="s">
        <v>30</v>
      </c>
      <c r="D451" s="1" t="s">
        <v>31</v>
      </c>
      <c r="E451" s="1" t="s">
        <v>32</v>
      </c>
      <c r="F451" s="1" t="s">
        <v>15</v>
      </c>
      <c r="G451" s="1" t="s">
        <v>44</v>
      </c>
      <c r="H451" s="1">
        <v>18000</v>
      </c>
      <c r="I451" s="1">
        <v>3</v>
      </c>
      <c r="J451" s="1">
        <v>0.1</v>
      </c>
      <c r="K451" s="1">
        <v>48600</v>
      </c>
      <c r="L451" s="1">
        <v>11239.46</v>
      </c>
      <c r="M451" s="8">
        <f t="shared" ref="M451:M501" ca="1" si="14">NOW()</f>
        <v>46011.04483136574</v>
      </c>
      <c r="N451" s="9" t="str">
        <f t="shared" ref="N451:N501" si="15">TEXT(B451,"mmm")</f>
        <v>Jan</v>
      </c>
    </row>
    <row r="452" spans="1:14" x14ac:dyDescent="0.3">
      <c r="A452" s="1">
        <v>1451</v>
      </c>
      <c r="B452" s="2">
        <v>45348</v>
      </c>
      <c r="C452" s="1" t="s">
        <v>50</v>
      </c>
      <c r="D452" s="1" t="s">
        <v>51</v>
      </c>
      <c r="E452" s="1" t="s">
        <v>32</v>
      </c>
      <c r="F452" s="1" t="s">
        <v>33</v>
      </c>
      <c r="G452" s="1" t="s">
        <v>34</v>
      </c>
      <c r="H452" s="1">
        <v>9500</v>
      </c>
      <c r="I452" s="1">
        <v>5</v>
      </c>
      <c r="J452" s="1">
        <v>0.05</v>
      </c>
      <c r="K452" s="1">
        <v>45125</v>
      </c>
      <c r="L452" s="1">
        <v>11265.14</v>
      </c>
      <c r="M452" s="8">
        <f t="shared" ca="1" si="14"/>
        <v>46011.04483136574</v>
      </c>
      <c r="N452" s="9" t="str">
        <f t="shared" si="15"/>
        <v>Feb</v>
      </c>
    </row>
    <row r="453" spans="1:14" x14ac:dyDescent="0.3">
      <c r="A453" s="1">
        <v>1452</v>
      </c>
      <c r="B453" s="2">
        <v>45310</v>
      </c>
      <c r="C453" s="1" t="s">
        <v>25</v>
      </c>
      <c r="D453" s="1" t="s">
        <v>26</v>
      </c>
      <c r="E453" s="1" t="s">
        <v>29</v>
      </c>
      <c r="F453" s="1" t="s">
        <v>15</v>
      </c>
      <c r="G453" s="1" t="s">
        <v>44</v>
      </c>
      <c r="H453" s="1">
        <v>18000</v>
      </c>
      <c r="I453" s="1">
        <v>5</v>
      </c>
      <c r="J453" s="1">
        <v>0</v>
      </c>
      <c r="K453" s="1">
        <v>90000</v>
      </c>
      <c r="L453" s="1">
        <v>19116.099999999999</v>
      </c>
      <c r="M453" s="8">
        <f t="shared" ca="1" si="14"/>
        <v>46011.04483136574</v>
      </c>
      <c r="N453" s="9" t="str">
        <f t="shared" si="15"/>
        <v>Jan</v>
      </c>
    </row>
    <row r="454" spans="1:14" x14ac:dyDescent="0.3">
      <c r="A454" s="1">
        <v>1453</v>
      </c>
      <c r="B454" s="2">
        <v>45302</v>
      </c>
      <c r="C454" s="1" t="s">
        <v>36</v>
      </c>
      <c r="D454" s="1" t="s">
        <v>37</v>
      </c>
      <c r="E454" s="1" t="s">
        <v>29</v>
      </c>
      <c r="F454" s="1" t="s">
        <v>15</v>
      </c>
      <c r="G454" s="1" t="s">
        <v>24</v>
      </c>
      <c r="H454" s="1">
        <v>22000</v>
      </c>
      <c r="I454" s="1">
        <v>4</v>
      </c>
      <c r="J454" s="1">
        <v>0</v>
      </c>
      <c r="K454" s="1">
        <v>88000</v>
      </c>
      <c r="L454" s="1">
        <v>16020.36</v>
      </c>
      <c r="M454" s="8">
        <f t="shared" ca="1" si="14"/>
        <v>46011.04483136574</v>
      </c>
      <c r="N454" s="9" t="str">
        <f t="shared" si="15"/>
        <v>Jan</v>
      </c>
    </row>
    <row r="455" spans="1:14" x14ac:dyDescent="0.3">
      <c r="A455" s="1">
        <v>1454</v>
      </c>
      <c r="B455" s="2">
        <v>45309</v>
      </c>
      <c r="C455" s="1" t="s">
        <v>12</v>
      </c>
      <c r="D455" s="1" t="s">
        <v>13</v>
      </c>
      <c r="E455" s="1" t="s">
        <v>14</v>
      </c>
      <c r="F455" s="1" t="s">
        <v>33</v>
      </c>
      <c r="G455" s="1" t="s">
        <v>34</v>
      </c>
      <c r="H455" s="1">
        <v>9500</v>
      </c>
      <c r="I455" s="1">
        <v>1</v>
      </c>
      <c r="J455" s="1">
        <v>0.05</v>
      </c>
      <c r="K455" s="1">
        <v>9025</v>
      </c>
      <c r="L455" s="1">
        <v>3045.84</v>
      </c>
      <c r="M455" s="8">
        <f t="shared" ca="1" si="14"/>
        <v>46011.04483136574</v>
      </c>
      <c r="N455" s="9" t="str">
        <f t="shared" si="15"/>
        <v>Jan</v>
      </c>
    </row>
    <row r="456" spans="1:14" x14ac:dyDescent="0.3">
      <c r="A456" s="1">
        <v>1455</v>
      </c>
      <c r="B456" s="2">
        <v>45360</v>
      </c>
      <c r="C456" s="1" t="s">
        <v>22</v>
      </c>
      <c r="D456" s="1" t="s">
        <v>23</v>
      </c>
      <c r="E456" s="1" t="s">
        <v>29</v>
      </c>
      <c r="F456" s="1" t="s">
        <v>15</v>
      </c>
      <c r="G456" s="1" t="s">
        <v>24</v>
      </c>
      <c r="H456" s="1">
        <v>22000</v>
      </c>
      <c r="I456" s="1">
        <v>4</v>
      </c>
      <c r="J456" s="1">
        <v>0.05</v>
      </c>
      <c r="K456" s="1">
        <v>83600</v>
      </c>
      <c r="L456" s="1">
        <v>24809.14</v>
      </c>
      <c r="M456" s="8">
        <f t="shared" ca="1" si="14"/>
        <v>46011.04483136574</v>
      </c>
      <c r="N456" s="9" t="str">
        <f t="shared" si="15"/>
        <v>Mar</v>
      </c>
    </row>
    <row r="457" spans="1:14" x14ac:dyDescent="0.3">
      <c r="A457" s="1">
        <v>1456</v>
      </c>
      <c r="B457" s="2">
        <v>45384</v>
      </c>
      <c r="C457" s="1" t="s">
        <v>12</v>
      </c>
      <c r="D457" s="1" t="s">
        <v>13</v>
      </c>
      <c r="E457" s="1" t="s">
        <v>14</v>
      </c>
      <c r="F457" s="1" t="s">
        <v>15</v>
      </c>
      <c r="G457" s="1" t="s">
        <v>35</v>
      </c>
      <c r="H457" s="1">
        <v>55000</v>
      </c>
      <c r="I457" s="1">
        <v>1</v>
      </c>
      <c r="J457" s="1">
        <v>0.1</v>
      </c>
      <c r="K457" s="1">
        <v>49500</v>
      </c>
      <c r="L457" s="1">
        <v>10968.19</v>
      </c>
      <c r="M457" s="8">
        <f t="shared" ca="1" si="14"/>
        <v>46011.04483136574</v>
      </c>
      <c r="N457" s="9" t="str">
        <f t="shared" si="15"/>
        <v>Apr</v>
      </c>
    </row>
    <row r="458" spans="1:14" x14ac:dyDescent="0.3">
      <c r="A458" s="1">
        <v>1457</v>
      </c>
      <c r="B458" s="2">
        <v>45410</v>
      </c>
      <c r="C458" s="1" t="s">
        <v>12</v>
      </c>
      <c r="D458" s="1" t="s">
        <v>13</v>
      </c>
      <c r="E458" s="1" t="s">
        <v>32</v>
      </c>
      <c r="F458" s="1" t="s">
        <v>15</v>
      </c>
      <c r="G458" s="1" t="s">
        <v>24</v>
      </c>
      <c r="H458" s="1">
        <v>22000</v>
      </c>
      <c r="I458" s="1">
        <v>4</v>
      </c>
      <c r="J458" s="1">
        <v>0.1</v>
      </c>
      <c r="K458" s="1">
        <v>79200</v>
      </c>
      <c r="L458" s="1">
        <v>12016.97</v>
      </c>
      <c r="M458" s="8">
        <f t="shared" ca="1" si="14"/>
        <v>46011.04483136574</v>
      </c>
      <c r="N458" s="9" t="str">
        <f t="shared" si="15"/>
        <v>Apr</v>
      </c>
    </row>
    <row r="459" spans="1:14" x14ac:dyDescent="0.3">
      <c r="A459" s="1">
        <v>1458</v>
      </c>
      <c r="B459" s="2">
        <v>45385</v>
      </c>
      <c r="C459" s="1" t="s">
        <v>17</v>
      </c>
      <c r="D459" s="1" t="s">
        <v>18</v>
      </c>
      <c r="E459" s="1" t="s">
        <v>29</v>
      </c>
      <c r="F459" s="1" t="s">
        <v>15</v>
      </c>
      <c r="G459" s="1" t="s">
        <v>44</v>
      </c>
      <c r="H459" s="1">
        <v>18000</v>
      </c>
      <c r="I459" s="1">
        <v>3</v>
      </c>
      <c r="J459" s="1">
        <v>0.1</v>
      </c>
      <c r="K459" s="1">
        <v>48600</v>
      </c>
      <c r="L459" s="1">
        <v>9019.41</v>
      </c>
      <c r="M459" s="8">
        <f t="shared" ca="1" si="14"/>
        <v>46011.04483136574</v>
      </c>
      <c r="N459" s="9" t="str">
        <f t="shared" si="15"/>
        <v>Apr</v>
      </c>
    </row>
    <row r="460" spans="1:14" x14ac:dyDescent="0.3">
      <c r="A460" s="1">
        <v>1459</v>
      </c>
      <c r="B460" s="2">
        <v>45394</v>
      </c>
      <c r="C460" s="1" t="s">
        <v>36</v>
      </c>
      <c r="D460" s="1" t="s">
        <v>37</v>
      </c>
      <c r="E460" s="1" t="s">
        <v>14</v>
      </c>
      <c r="F460" s="1" t="s">
        <v>15</v>
      </c>
      <c r="G460" s="1" t="s">
        <v>35</v>
      </c>
      <c r="H460" s="1">
        <v>55000</v>
      </c>
      <c r="I460" s="1">
        <v>1</v>
      </c>
      <c r="J460" s="1">
        <v>0.15</v>
      </c>
      <c r="K460" s="1">
        <v>46750</v>
      </c>
      <c r="L460" s="1">
        <v>9941.99</v>
      </c>
      <c r="M460" s="8">
        <f t="shared" ca="1" si="14"/>
        <v>46011.04483136574</v>
      </c>
      <c r="N460" s="9" t="str">
        <f t="shared" si="15"/>
        <v>Apr</v>
      </c>
    </row>
    <row r="461" spans="1:14" x14ac:dyDescent="0.3">
      <c r="A461" s="1">
        <v>1460</v>
      </c>
      <c r="B461" s="2">
        <v>45410</v>
      </c>
      <c r="C461" s="1" t="s">
        <v>36</v>
      </c>
      <c r="D461" s="1" t="s">
        <v>37</v>
      </c>
      <c r="E461" s="1" t="s">
        <v>19</v>
      </c>
      <c r="F461" s="1" t="s">
        <v>33</v>
      </c>
      <c r="G461" s="1" t="s">
        <v>52</v>
      </c>
      <c r="H461" s="1">
        <v>12000</v>
      </c>
      <c r="I461" s="1">
        <v>4</v>
      </c>
      <c r="J461" s="1">
        <v>0.1</v>
      </c>
      <c r="K461" s="1">
        <v>43200</v>
      </c>
      <c r="L461" s="1">
        <v>8817.4599999999991</v>
      </c>
      <c r="M461" s="8">
        <f t="shared" ca="1" si="14"/>
        <v>46011.04483136574</v>
      </c>
      <c r="N461" s="9" t="str">
        <f t="shared" si="15"/>
        <v>Apr</v>
      </c>
    </row>
    <row r="462" spans="1:14" x14ac:dyDescent="0.3">
      <c r="A462" s="1">
        <v>1461</v>
      </c>
      <c r="B462" s="2">
        <v>45351</v>
      </c>
      <c r="C462" s="1" t="s">
        <v>46</v>
      </c>
      <c r="D462" s="1" t="s">
        <v>47</v>
      </c>
      <c r="E462" s="1" t="s">
        <v>19</v>
      </c>
      <c r="F462" s="1" t="s">
        <v>33</v>
      </c>
      <c r="G462" s="1" t="s">
        <v>43</v>
      </c>
      <c r="H462" s="1">
        <v>7500</v>
      </c>
      <c r="I462" s="1">
        <v>2</v>
      </c>
      <c r="J462" s="1">
        <v>0.15</v>
      </c>
      <c r="K462" s="1">
        <v>12750</v>
      </c>
      <c r="L462" s="1">
        <v>4377.92</v>
      </c>
      <c r="M462" s="8">
        <f t="shared" ca="1" si="14"/>
        <v>46011.04483136574</v>
      </c>
      <c r="N462" s="9" t="str">
        <f t="shared" si="15"/>
        <v>Feb</v>
      </c>
    </row>
    <row r="463" spans="1:14" x14ac:dyDescent="0.3">
      <c r="A463" s="1">
        <v>1462</v>
      </c>
      <c r="B463" s="2">
        <v>45356</v>
      </c>
      <c r="C463" s="1" t="s">
        <v>48</v>
      </c>
      <c r="D463" s="1" t="s">
        <v>49</v>
      </c>
      <c r="E463" s="1" t="s">
        <v>29</v>
      </c>
      <c r="F463" s="1" t="s">
        <v>20</v>
      </c>
      <c r="G463" s="1" t="s">
        <v>21</v>
      </c>
      <c r="H463" s="1">
        <v>200</v>
      </c>
      <c r="I463" s="1">
        <v>4</v>
      </c>
      <c r="J463" s="1">
        <v>0</v>
      </c>
      <c r="K463" s="1">
        <v>800</v>
      </c>
      <c r="L463" s="1">
        <v>200.75</v>
      </c>
      <c r="M463" s="8">
        <f t="shared" ca="1" si="14"/>
        <v>46011.04483136574</v>
      </c>
      <c r="N463" s="9" t="str">
        <f t="shared" si="15"/>
        <v>Mar</v>
      </c>
    </row>
    <row r="464" spans="1:14" x14ac:dyDescent="0.3">
      <c r="A464" s="1">
        <v>1463</v>
      </c>
      <c r="B464" s="2">
        <v>45426</v>
      </c>
      <c r="C464" s="1" t="s">
        <v>48</v>
      </c>
      <c r="D464" s="1" t="s">
        <v>49</v>
      </c>
      <c r="E464" s="1" t="s">
        <v>29</v>
      </c>
      <c r="F464" s="1" t="s">
        <v>15</v>
      </c>
      <c r="G464" s="1" t="s">
        <v>35</v>
      </c>
      <c r="H464" s="1">
        <v>55000</v>
      </c>
      <c r="I464" s="1">
        <v>2</v>
      </c>
      <c r="J464" s="1">
        <v>0</v>
      </c>
      <c r="K464" s="1">
        <v>110000</v>
      </c>
      <c r="L464" s="1">
        <v>26150.84</v>
      </c>
      <c r="M464" s="8">
        <f t="shared" ca="1" si="14"/>
        <v>46011.04483136574</v>
      </c>
      <c r="N464" s="9" t="str">
        <f t="shared" si="15"/>
        <v>May</v>
      </c>
    </row>
    <row r="465" spans="1:14" x14ac:dyDescent="0.3">
      <c r="A465" s="1">
        <v>1464</v>
      </c>
      <c r="B465" s="2">
        <v>45400</v>
      </c>
      <c r="C465" s="1" t="s">
        <v>36</v>
      </c>
      <c r="D465" s="1" t="s">
        <v>37</v>
      </c>
      <c r="E465" s="1" t="s">
        <v>29</v>
      </c>
      <c r="F465" s="1" t="s">
        <v>20</v>
      </c>
      <c r="G465" s="1" t="s">
        <v>45</v>
      </c>
      <c r="H465" s="1">
        <v>500</v>
      </c>
      <c r="I465" s="1">
        <v>4</v>
      </c>
      <c r="J465" s="1">
        <v>0.1</v>
      </c>
      <c r="K465" s="1">
        <v>1800</v>
      </c>
      <c r="L465" s="1">
        <v>342.8</v>
      </c>
      <c r="M465" s="8">
        <f t="shared" ca="1" si="14"/>
        <v>46011.04483136574</v>
      </c>
      <c r="N465" s="9" t="str">
        <f t="shared" si="15"/>
        <v>Apr</v>
      </c>
    </row>
    <row r="466" spans="1:14" x14ac:dyDescent="0.3">
      <c r="A466" s="1">
        <v>1465</v>
      </c>
      <c r="B466" s="2">
        <v>45324</v>
      </c>
      <c r="C466" s="1" t="s">
        <v>50</v>
      </c>
      <c r="D466" s="1" t="s">
        <v>51</v>
      </c>
      <c r="E466" s="1" t="s">
        <v>14</v>
      </c>
      <c r="F466" s="1" t="s">
        <v>15</v>
      </c>
      <c r="G466" s="1" t="s">
        <v>24</v>
      </c>
      <c r="H466" s="1">
        <v>22000</v>
      </c>
      <c r="I466" s="1">
        <v>5</v>
      </c>
      <c r="J466" s="1">
        <v>0</v>
      </c>
      <c r="K466" s="1">
        <v>110000</v>
      </c>
      <c r="L466" s="1">
        <v>29081.09</v>
      </c>
      <c r="M466" s="8">
        <f t="shared" ca="1" si="14"/>
        <v>46011.04483136574</v>
      </c>
      <c r="N466" s="9" t="str">
        <f t="shared" si="15"/>
        <v>Feb</v>
      </c>
    </row>
    <row r="467" spans="1:14" x14ac:dyDescent="0.3">
      <c r="A467" s="1">
        <v>1466</v>
      </c>
      <c r="B467" s="2">
        <v>45341</v>
      </c>
      <c r="C467" s="1" t="s">
        <v>25</v>
      </c>
      <c r="D467" s="1" t="s">
        <v>26</v>
      </c>
      <c r="E467" s="1" t="s">
        <v>14</v>
      </c>
      <c r="F467" s="1" t="s">
        <v>15</v>
      </c>
      <c r="G467" s="1" t="s">
        <v>44</v>
      </c>
      <c r="H467" s="1">
        <v>18000</v>
      </c>
      <c r="I467" s="1">
        <v>1</v>
      </c>
      <c r="J467" s="1">
        <v>0.15</v>
      </c>
      <c r="K467" s="1">
        <v>15300</v>
      </c>
      <c r="L467" s="1">
        <v>4182.05</v>
      </c>
      <c r="M467" s="8">
        <f t="shared" ca="1" si="14"/>
        <v>46011.04483136574</v>
      </c>
      <c r="N467" s="9" t="str">
        <f t="shared" si="15"/>
        <v>Feb</v>
      </c>
    </row>
    <row r="468" spans="1:14" x14ac:dyDescent="0.3">
      <c r="A468" s="1">
        <v>1467</v>
      </c>
      <c r="B468" s="2">
        <v>45401</v>
      </c>
      <c r="C468" s="1" t="s">
        <v>30</v>
      </c>
      <c r="D468" s="1" t="s">
        <v>31</v>
      </c>
      <c r="E468" s="1" t="s">
        <v>29</v>
      </c>
      <c r="F468" s="1" t="s">
        <v>15</v>
      </c>
      <c r="G468" s="1" t="s">
        <v>44</v>
      </c>
      <c r="H468" s="1">
        <v>18000</v>
      </c>
      <c r="I468" s="1">
        <v>5</v>
      </c>
      <c r="J468" s="1">
        <v>0.15</v>
      </c>
      <c r="K468" s="1">
        <v>76500</v>
      </c>
      <c r="L468" s="1">
        <v>21240.61</v>
      </c>
      <c r="M468" s="8">
        <f t="shared" ca="1" si="14"/>
        <v>46011.04483136574</v>
      </c>
      <c r="N468" s="9" t="str">
        <f t="shared" si="15"/>
        <v>Apr</v>
      </c>
    </row>
    <row r="469" spans="1:14" x14ac:dyDescent="0.3">
      <c r="A469" s="1">
        <v>1468</v>
      </c>
      <c r="B469" s="2">
        <v>45462</v>
      </c>
      <c r="C469" s="1" t="s">
        <v>48</v>
      </c>
      <c r="D469" s="1" t="s">
        <v>49</v>
      </c>
      <c r="E469" s="1" t="s">
        <v>29</v>
      </c>
      <c r="F469" s="1" t="s">
        <v>33</v>
      </c>
      <c r="G469" s="1" t="s">
        <v>43</v>
      </c>
      <c r="H469" s="1">
        <v>7500</v>
      </c>
      <c r="I469" s="1">
        <v>4</v>
      </c>
      <c r="J469" s="1">
        <v>0</v>
      </c>
      <c r="K469" s="1">
        <v>30000</v>
      </c>
      <c r="L469" s="1">
        <v>7523.8</v>
      </c>
      <c r="M469" s="8">
        <f t="shared" ca="1" si="14"/>
        <v>46011.04483136574</v>
      </c>
      <c r="N469" s="9" t="str">
        <f t="shared" si="15"/>
        <v>Jun</v>
      </c>
    </row>
    <row r="470" spans="1:14" x14ac:dyDescent="0.3">
      <c r="A470" s="1">
        <v>1469</v>
      </c>
      <c r="B470" s="2">
        <v>45424</v>
      </c>
      <c r="C470" s="1" t="s">
        <v>41</v>
      </c>
      <c r="D470" s="1" t="s">
        <v>42</v>
      </c>
      <c r="E470" s="1" t="s">
        <v>19</v>
      </c>
      <c r="F470" s="1" t="s">
        <v>20</v>
      </c>
      <c r="G470" s="1" t="s">
        <v>21</v>
      </c>
      <c r="H470" s="1">
        <v>200</v>
      </c>
      <c r="I470" s="1">
        <v>5</v>
      </c>
      <c r="J470" s="1">
        <v>0.05</v>
      </c>
      <c r="K470" s="1">
        <v>950</v>
      </c>
      <c r="L470" s="1">
        <v>330.7</v>
      </c>
      <c r="M470" s="8">
        <f t="shared" ca="1" si="14"/>
        <v>46011.04483136574</v>
      </c>
      <c r="N470" s="9" t="str">
        <f t="shared" si="15"/>
        <v>May</v>
      </c>
    </row>
    <row r="471" spans="1:14" x14ac:dyDescent="0.3">
      <c r="A471" s="1">
        <v>1470</v>
      </c>
      <c r="B471" s="2">
        <v>45465</v>
      </c>
      <c r="C471" s="1" t="s">
        <v>25</v>
      </c>
      <c r="D471" s="1" t="s">
        <v>26</v>
      </c>
      <c r="E471" s="1" t="s">
        <v>19</v>
      </c>
      <c r="F471" s="1" t="s">
        <v>33</v>
      </c>
      <c r="G471" s="1" t="s">
        <v>52</v>
      </c>
      <c r="H471" s="1">
        <v>12000</v>
      </c>
      <c r="I471" s="1">
        <v>3</v>
      </c>
      <c r="J471" s="1">
        <v>0.15</v>
      </c>
      <c r="K471" s="1">
        <v>30600</v>
      </c>
      <c r="L471" s="1">
        <v>7356.54</v>
      </c>
      <c r="M471" s="8">
        <f t="shared" ca="1" si="14"/>
        <v>46011.04483136574</v>
      </c>
      <c r="N471" s="9" t="str">
        <f t="shared" si="15"/>
        <v>Jun</v>
      </c>
    </row>
    <row r="472" spans="1:14" x14ac:dyDescent="0.3">
      <c r="A472" s="1">
        <v>1471</v>
      </c>
      <c r="B472" s="2">
        <v>45342</v>
      </c>
      <c r="C472" s="1" t="s">
        <v>27</v>
      </c>
      <c r="D472" s="1" t="s">
        <v>28</v>
      </c>
      <c r="E472" s="1" t="s">
        <v>14</v>
      </c>
      <c r="F472" s="1" t="s">
        <v>33</v>
      </c>
      <c r="G472" s="1" t="s">
        <v>34</v>
      </c>
      <c r="H472" s="1">
        <v>9500</v>
      </c>
      <c r="I472" s="1">
        <v>3</v>
      </c>
      <c r="J472" s="1">
        <v>0.15</v>
      </c>
      <c r="K472" s="1">
        <v>24225</v>
      </c>
      <c r="L472" s="1">
        <v>6365.15</v>
      </c>
      <c r="M472" s="8">
        <f t="shared" ca="1" si="14"/>
        <v>46011.04483136574</v>
      </c>
      <c r="N472" s="9" t="str">
        <f t="shared" si="15"/>
        <v>Feb</v>
      </c>
    </row>
    <row r="473" spans="1:14" x14ac:dyDescent="0.3">
      <c r="A473" s="1">
        <v>1472</v>
      </c>
      <c r="B473" s="2">
        <v>45418</v>
      </c>
      <c r="C473" s="1" t="s">
        <v>17</v>
      </c>
      <c r="D473" s="1" t="s">
        <v>18</v>
      </c>
      <c r="E473" s="1" t="s">
        <v>14</v>
      </c>
      <c r="F473" s="1" t="s">
        <v>20</v>
      </c>
      <c r="G473" s="1" t="s">
        <v>45</v>
      </c>
      <c r="H473" s="1">
        <v>500</v>
      </c>
      <c r="I473" s="1">
        <v>1</v>
      </c>
      <c r="J473" s="1">
        <v>0</v>
      </c>
      <c r="K473" s="1">
        <v>500</v>
      </c>
      <c r="L473" s="1">
        <v>171.32</v>
      </c>
      <c r="M473" s="8">
        <f t="shared" ca="1" si="14"/>
        <v>46011.04483136574</v>
      </c>
      <c r="N473" s="9" t="str">
        <f t="shared" si="15"/>
        <v>May</v>
      </c>
    </row>
    <row r="474" spans="1:14" x14ac:dyDescent="0.3">
      <c r="A474" s="1">
        <v>1473</v>
      </c>
      <c r="B474" s="2">
        <v>45322</v>
      </c>
      <c r="C474" s="1" t="s">
        <v>25</v>
      </c>
      <c r="D474" s="1" t="s">
        <v>26</v>
      </c>
      <c r="E474" s="1" t="s">
        <v>32</v>
      </c>
      <c r="F474" s="1" t="s">
        <v>20</v>
      </c>
      <c r="G474" s="1" t="s">
        <v>38</v>
      </c>
      <c r="H474" s="1">
        <v>350</v>
      </c>
      <c r="I474" s="1">
        <v>3</v>
      </c>
      <c r="J474" s="1">
        <v>0.05</v>
      </c>
      <c r="K474" s="1">
        <v>997.5</v>
      </c>
      <c r="L474" s="1">
        <v>205.83</v>
      </c>
      <c r="M474" s="8">
        <f t="shared" ca="1" si="14"/>
        <v>46011.04483136574</v>
      </c>
      <c r="N474" s="9" t="str">
        <f t="shared" si="15"/>
        <v>Jan</v>
      </c>
    </row>
    <row r="475" spans="1:14" x14ac:dyDescent="0.3">
      <c r="A475" s="1">
        <v>1474</v>
      </c>
      <c r="B475" s="2">
        <v>45443</v>
      </c>
      <c r="C475" s="1" t="s">
        <v>12</v>
      </c>
      <c r="D475" s="1" t="s">
        <v>13</v>
      </c>
      <c r="E475" s="1" t="s">
        <v>29</v>
      </c>
      <c r="F475" s="1" t="s">
        <v>15</v>
      </c>
      <c r="G475" s="1" t="s">
        <v>16</v>
      </c>
      <c r="H475" s="1">
        <v>3000</v>
      </c>
      <c r="I475" s="1">
        <v>1</v>
      </c>
      <c r="J475" s="1">
        <v>0.05</v>
      </c>
      <c r="K475" s="1">
        <v>2850</v>
      </c>
      <c r="L475" s="1">
        <v>853.78</v>
      </c>
      <c r="M475" s="8">
        <f t="shared" ca="1" si="14"/>
        <v>46011.04483136574</v>
      </c>
      <c r="N475" s="9" t="str">
        <f t="shared" si="15"/>
        <v>May</v>
      </c>
    </row>
    <row r="476" spans="1:14" x14ac:dyDescent="0.3">
      <c r="A476" s="1">
        <v>1475</v>
      </c>
      <c r="B476" s="2">
        <v>45472</v>
      </c>
      <c r="C476" s="1" t="s">
        <v>22</v>
      </c>
      <c r="D476" s="1" t="s">
        <v>23</v>
      </c>
      <c r="E476" s="1" t="s">
        <v>29</v>
      </c>
      <c r="F476" s="1" t="s">
        <v>15</v>
      </c>
      <c r="G476" s="1" t="s">
        <v>24</v>
      </c>
      <c r="H476" s="1">
        <v>22000</v>
      </c>
      <c r="I476" s="1">
        <v>4</v>
      </c>
      <c r="J476" s="1">
        <v>0.15</v>
      </c>
      <c r="K476" s="1">
        <v>74800</v>
      </c>
      <c r="L476" s="1">
        <v>24136.93</v>
      </c>
      <c r="M476" s="8">
        <f t="shared" ca="1" si="14"/>
        <v>46011.04483136574</v>
      </c>
      <c r="N476" s="9" t="str">
        <f t="shared" si="15"/>
        <v>Jun</v>
      </c>
    </row>
    <row r="477" spans="1:14" x14ac:dyDescent="0.3">
      <c r="A477" s="1">
        <v>1476</v>
      </c>
      <c r="B477" s="2">
        <v>45336</v>
      </c>
      <c r="C477" s="1" t="s">
        <v>30</v>
      </c>
      <c r="D477" s="1" t="s">
        <v>31</v>
      </c>
      <c r="E477" s="1" t="s">
        <v>29</v>
      </c>
      <c r="F477" s="1" t="s">
        <v>33</v>
      </c>
      <c r="G477" s="1" t="s">
        <v>52</v>
      </c>
      <c r="H477" s="1">
        <v>12000</v>
      </c>
      <c r="I477" s="1">
        <v>1</v>
      </c>
      <c r="J477" s="1">
        <v>0.05</v>
      </c>
      <c r="K477" s="1">
        <v>11400</v>
      </c>
      <c r="L477" s="1">
        <v>3129.81</v>
      </c>
      <c r="M477" s="8">
        <f t="shared" ca="1" si="14"/>
        <v>46011.04483136574</v>
      </c>
      <c r="N477" s="9" t="str">
        <f t="shared" si="15"/>
        <v>Feb</v>
      </c>
    </row>
    <row r="478" spans="1:14" x14ac:dyDescent="0.3">
      <c r="A478" s="1">
        <v>1477</v>
      </c>
      <c r="B478" s="2">
        <v>45412</v>
      </c>
      <c r="C478" s="1" t="s">
        <v>12</v>
      </c>
      <c r="D478" s="1" t="s">
        <v>13</v>
      </c>
      <c r="E478" s="1" t="s">
        <v>14</v>
      </c>
      <c r="F478" s="1" t="s">
        <v>15</v>
      </c>
      <c r="G478" s="1" t="s">
        <v>35</v>
      </c>
      <c r="H478" s="1">
        <v>55000</v>
      </c>
      <c r="I478" s="1">
        <v>1</v>
      </c>
      <c r="J478" s="1">
        <v>0.05</v>
      </c>
      <c r="K478" s="1">
        <v>52250</v>
      </c>
      <c r="L478" s="1">
        <v>17956.98</v>
      </c>
      <c r="M478" s="8">
        <f t="shared" ca="1" si="14"/>
        <v>46011.04483136574</v>
      </c>
      <c r="N478" s="9" t="str">
        <f t="shared" si="15"/>
        <v>Apr</v>
      </c>
    </row>
    <row r="479" spans="1:14" x14ac:dyDescent="0.3">
      <c r="A479" s="1">
        <v>1478</v>
      </c>
      <c r="B479" s="2">
        <v>45396</v>
      </c>
      <c r="C479" s="1" t="s">
        <v>39</v>
      </c>
      <c r="D479" s="1" t="s">
        <v>40</v>
      </c>
      <c r="E479" s="1" t="s">
        <v>19</v>
      </c>
      <c r="F479" s="1" t="s">
        <v>20</v>
      </c>
      <c r="G479" s="1" t="s">
        <v>38</v>
      </c>
      <c r="H479" s="1">
        <v>350</v>
      </c>
      <c r="I479" s="1">
        <v>1</v>
      </c>
      <c r="J479" s="1">
        <v>0</v>
      </c>
      <c r="K479" s="1">
        <v>350</v>
      </c>
      <c r="L479" s="1">
        <v>98.23</v>
      </c>
      <c r="M479" s="8">
        <f t="shared" ca="1" si="14"/>
        <v>46011.04483136574</v>
      </c>
      <c r="N479" s="9" t="str">
        <f t="shared" si="15"/>
        <v>Apr</v>
      </c>
    </row>
    <row r="480" spans="1:14" x14ac:dyDescent="0.3">
      <c r="A480" s="1">
        <v>1479</v>
      </c>
      <c r="B480" s="2">
        <v>45455</v>
      </c>
      <c r="C480" s="1" t="s">
        <v>22</v>
      </c>
      <c r="D480" s="1" t="s">
        <v>23</v>
      </c>
      <c r="E480" s="1" t="s">
        <v>32</v>
      </c>
      <c r="F480" s="1" t="s">
        <v>33</v>
      </c>
      <c r="G480" s="1" t="s">
        <v>52</v>
      </c>
      <c r="H480" s="1">
        <v>12000</v>
      </c>
      <c r="I480" s="1">
        <v>5</v>
      </c>
      <c r="J480" s="1">
        <v>0.15</v>
      </c>
      <c r="K480" s="1">
        <v>51000</v>
      </c>
      <c r="L480" s="1">
        <v>10668.64</v>
      </c>
      <c r="M480" s="8">
        <f t="shared" ca="1" si="14"/>
        <v>46011.04483136574</v>
      </c>
      <c r="N480" s="9" t="str">
        <f t="shared" si="15"/>
        <v>Jun</v>
      </c>
    </row>
    <row r="481" spans="1:14" x14ac:dyDescent="0.3">
      <c r="A481" s="1">
        <v>1480</v>
      </c>
      <c r="B481" s="2">
        <v>45438</v>
      </c>
      <c r="C481" s="1" t="s">
        <v>30</v>
      </c>
      <c r="D481" s="1" t="s">
        <v>31</v>
      </c>
      <c r="E481" s="1" t="s">
        <v>29</v>
      </c>
      <c r="F481" s="1" t="s">
        <v>15</v>
      </c>
      <c r="G481" s="1" t="s">
        <v>44</v>
      </c>
      <c r="H481" s="1">
        <v>18000</v>
      </c>
      <c r="I481" s="1">
        <v>5</v>
      </c>
      <c r="J481" s="1">
        <v>0.05</v>
      </c>
      <c r="K481" s="1">
        <v>85500</v>
      </c>
      <c r="L481" s="1">
        <v>13694.38</v>
      </c>
      <c r="M481" s="8">
        <f t="shared" ca="1" si="14"/>
        <v>46011.04483136574</v>
      </c>
      <c r="N481" s="9" t="str">
        <f t="shared" si="15"/>
        <v>May</v>
      </c>
    </row>
    <row r="482" spans="1:14" x14ac:dyDescent="0.3">
      <c r="A482" s="1">
        <v>1481</v>
      </c>
      <c r="B482" s="2">
        <v>45297</v>
      </c>
      <c r="C482" s="1" t="s">
        <v>22</v>
      </c>
      <c r="D482" s="1" t="s">
        <v>23</v>
      </c>
      <c r="E482" s="1" t="s">
        <v>32</v>
      </c>
      <c r="F482" s="1" t="s">
        <v>20</v>
      </c>
      <c r="G482" s="1" t="s">
        <v>38</v>
      </c>
      <c r="H482" s="1">
        <v>350</v>
      </c>
      <c r="I482" s="1">
        <v>3</v>
      </c>
      <c r="J482" s="1">
        <v>0.05</v>
      </c>
      <c r="K482" s="1">
        <v>997.5</v>
      </c>
      <c r="L482" s="1">
        <v>225.91</v>
      </c>
      <c r="M482" s="8">
        <f t="shared" ca="1" si="14"/>
        <v>46011.04483136574</v>
      </c>
      <c r="N482" s="9" t="str">
        <f t="shared" si="15"/>
        <v>Jan</v>
      </c>
    </row>
    <row r="483" spans="1:14" x14ac:dyDescent="0.3">
      <c r="A483" s="1">
        <v>1482</v>
      </c>
      <c r="B483" s="2">
        <v>45430</v>
      </c>
      <c r="C483" s="1" t="s">
        <v>25</v>
      </c>
      <c r="D483" s="1" t="s">
        <v>26</v>
      </c>
      <c r="E483" s="1" t="s">
        <v>32</v>
      </c>
      <c r="F483" s="1" t="s">
        <v>33</v>
      </c>
      <c r="G483" s="1" t="s">
        <v>34</v>
      </c>
      <c r="H483" s="1">
        <v>9500</v>
      </c>
      <c r="I483" s="1">
        <v>1</v>
      </c>
      <c r="J483" s="1">
        <v>0.05</v>
      </c>
      <c r="K483" s="1">
        <v>9025</v>
      </c>
      <c r="L483" s="1">
        <v>2904.96</v>
      </c>
      <c r="M483" s="8">
        <f t="shared" ca="1" si="14"/>
        <v>46011.04483136574</v>
      </c>
      <c r="N483" s="9" t="str">
        <f t="shared" si="15"/>
        <v>May</v>
      </c>
    </row>
    <row r="484" spans="1:14" x14ac:dyDescent="0.3">
      <c r="A484" s="1">
        <v>1483</v>
      </c>
      <c r="B484" s="2">
        <v>45334</v>
      </c>
      <c r="C484" s="1" t="s">
        <v>50</v>
      </c>
      <c r="D484" s="1" t="s">
        <v>51</v>
      </c>
      <c r="E484" s="1" t="s">
        <v>19</v>
      </c>
      <c r="F484" s="1" t="s">
        <v>20</v>
      </c>
      <c r="G484" s="1" t="s">
        <v>45</v>
      </c>
      <c r="H484" s="1">
        <v>500</v>
      </c>
      <c r="I484" s="1">
        <v>1</v>
      </c>
      <c r="J484" s="1">
        <v>0.05</v>
      </c>
      <c r="K484" s="1">
        <v>475</v>
      </c>
      <c r="L484" s="1">
        <v>75.14</v>
      </c>
      <c r="M484" s="8">
        <f t="shared" ca="1" si="14"/>
        <v>46011.04483136574</v>
      </c>
      <c r="N484" s="9" t="str">
        <f t="shared" si="15"/>
        <v>Feb</v>
      </c>
    </row>
    <row r="485" spans="1:14" x14ac:dyDescent="0.3">
      <c r="A485" s="1">
        <v>1484</v>
      </c>
      <c r="B485" s="2">
        <v>45348</v>
      </c>
      <c r="C485" s="1" t="s">
        <v>50</v>
      </c>
      <c r="D485" s="1" t="s">
        <v>51</v>
      </c>
      <c r="E485" s="1" t="s">
        <v>19</v>
      </c>
      <c r="F485" s="1" t="s">
        <v>20</v>
      </c>
      <c r="G485" s="1" t="s">
        <v>38</v>
      </c>
      <c r="H485" s="1">
        <v>350</v>
      </c>
      <c r="I485" s="1">
        <v>1</v>
      </c>
      <c r="J485" s="1">
        <v>0.05</v>
      </c>
      <c r="K485" s="1">
        <v>332.5</v>
      </c>
      <c r="L485" s="1">
        <v>68.849999999999994</v>
      </c>
      <c r="M485" s="8">
        <f t="shared" ca="1" si="14"/>
        <v>46011.04483136574</v>
      </c>
      <c r="N485" s="9" t="str">
        <f t="shared" si="15"/>
        <v>Feb</v>
      </c>
    </row>
    <row r="486" spans="1:14" x14ac:dyDescent="0.3">
      <c r="A486" s="1">
        <v>1485</v>
      </c>
      <c r="B486" s="2">
        <v>45417</v>
      </c>
      <c r="C486" s="1" t="s">
        <v>36</v>
      </c>
      <c r="D486" s="1" t="s">
        <v>37</v>
      </c>
      <c r="E486" s="1" t="s">
        <v>32</v>
      </c>
      <c r="F486" s="1" t="s">
        <v>15</v>
      </c>
      <c r="G486" s="1" t="s">
        <v>35</v>
      </c>
      <c r="H486" s="1">
        <v>55000</v>
      </c>
      <c r="I486" s="1">
        <v>4</v>
      </c>
      <c r="J486" s="1">
        <v>0.15</v>
      </c>
      <c r="K486" s="1">
        <v>187000</v>
      </c>
      <c r="L486" s="1">
        <v>39991.72</v>
      </c>
      <c r="M486" s="8">
        <f t="shared" ca="1" si="14"/>
        <v>46011.04483136574</v>
      </c>
      <c r="N486" s="9" t="str">
        <f t="shared" si="15"/>
        <v>May</v>
      </c>
    </row>
    <row r="487" spans="1:14" x14ac:dyDescent="0.3">
      <c r="A487" s="1">
        <v>1486</v>
      </c>
      <c r="B487" s="2">
        <v>45343</v>
      </c>
      <c r="C487" s="1" t="s">
        <v>17</v>
      </c>
      <c r="D487" s="1" t="s">
        <v>18</v>
      </c>
      <c r="E487" s="1" t="s">
        <v>19</v>
      </c>
      <c r="F487" s="1" t="s">
        <v>33</v>
      </c>
      <c r="G487" s="1" t="s">
        <v>34</v>
      </c>
      <c r="H487" s="1">
        <v>9500</v>
      </c>
      <c r="I487" s="1">
        <v>1</v>
      </c>
      <c r="J487" s="1">
        <v>0.1</v>
      </c>
      <c r="K487" s="1">
        <v>8550</v>
      </c>
      <c r="L487" s="1">
        <v>2822.04</v>
      </c>
      <c r="M487" s="8">
        <f t="shared" ca="1" si="14"/>
        <v>46011.04483136574</v>
      </c>
      <c r="N487" s="9" t="str">
        <f t="shared" si="15"/>
        <v>Feb</v>
      </c>
    </row>
    <row r="488" spans="1:14" x14ac:dyDescent="0.3">
      <c r="A488" s="1">
        <v>1487</v>
      </c>
      <c r="B488" s="2">
        <v>45344</v>
      </c>
      <c r="C488" s="1" t="s">
        <v>50</v>
      </c>
      <c r="D488" s="1" t="s">
        <v>51</v>
      </c>
      <c r="E488" s="1" t="s">
        <v>32</v>
      </c>
      <c r="F488" s="1" t="s">
        <v>33</v>
      </c>
      <c r="G488" s="1" t="s">
        <v>43</v>
      </c>
      <c r="H488" s="1">
        <v>7500</v>
      </c>
      <c r="I488" s="1">
        <v>3</v>
      </c>
      <c r="J488" s="1">
        <v>0.05</v>
      </c>
      <c r="K488" s="1">
        <v>21375</v>
      </c>
      <c r="L488" s="1">
        <v>5727.08</v>
      </c>
      <c r="M488" s="8">
        <f t="shared" ca="1" si="14"/>
        <v>46011.04483136574</v>
      </c>
      <c r="N488" s="9" t="str">
        <f t="shared" si="15"/>
        <v>Feb</v>
      </c>
    </row>
    <row r="489" spans="1:14" x14ac:dyDescent="0.3">
      <c r="A489" s="1">
        <v>1488</v>
      </c>
      <c r="B489" s="2">
        <v>45411</v>
      </c>
      <c r="C489" s="1" t="s">
        <v>36</v>
      </c>
      <c r="D489" s="1" t="s">
        <v>37</v>
      </c>
      <c r="E489" s="1" t="s">
        <v>29</v>
      </c>
      <c r="F489" s="1" t="s">
        <v>15</v>
      </c>
      <c r="G489" s="1" t="s">
        <v>16</v>
      </c>
      <c r="H489" s="1">
        <v>3000</v>
      </c>
      <c r="I489" s="1">
        <v>4</v>
      </c>
      <c r="J489" s="1">
        <v>0.15</v>
      </c>
      <c r="K489" s="1">
        <v>10200</v>
      </c>
      <c r="L489" s="1">
        <v>2117.5300000000002</v>
      </c>
      <c r="M489" s="8">
        <f t="shared" ca="1" si="14"/>
        <v>46011.04483136574</v>
      </c>
      <c r="N489" s="9" t="str">
        <f t="shared" si="15"/>
        <v>Apr</v>
      </c>
    </row>
    <row r="490" spans="1:14" x14ac:dyDescent="0.3">
      <c r="A490" s="1">
        <v>1489</v>
      </c>
      <c r="B490" s="2">
        <v>45447</v>
      </c>
      <c r="C490" s="1" t="s">
        <v>27</v>
      </c>
      <c r="D490" s="1" t="s">
        <v>28</v>
      </c>
      <c r="E490" s="1" t="s">
        <v>29</v>
      </c>
      <c r="F490" s="1" t="s">
        <v>33</v>
      </c>
      <c r="G490" s="1" t="s">
        <v>52</v>
      </c>
      <c r="H490" s="1">
        <v>12000</v>
      </c>
      <c r="I490" s="1">
        <v>1</v>
      </c>
      <c r="J490" s="1">
        <v>0.1</v>
      </c>
      <c r="K490" s="1">
        <v>10800</v>
      </c>
      <c r="L490" s="1">
        <v>2314.5500000000002</v>
      </c>
      <c r="M490" s="8">
        <f t="shared" ca="1" si="14"/>
        <v>46011.04483136574</v>
      </c>
      <c r="N490" s="9" t="str">
        <f t="shared" si="15"/>
        <v>Jun</v>
      </c>
    </row>
    <row r="491" spans="1:14" x14ac:dyDescent="0.3">
      <c r="A491" s="1">
        <v>1490</v>
      </c>
      <c r="B491" s="2">
        <v>45436</v>
      </c>
      <c r="C491" s="1" t="s">
        <v>50</v>
      </c>
      <c r="D491" s="1" t="s">
        <v>51</v>
      </c>
      <c r="E491" s="1" t="s">
        <v>14</v>
      </c>
      <c r="F491" s="1" t="s">
        <v>33</v>
      </c>
      <c r="G491" s="1" t="s">
        <v>52</v>
      </c>
      <c r="H491" s="1">
        <v>12000</v>
      </c>
      <c r="I491" s="1">
        <v>5</v>
      </c>
      <c r="J491" s="1">
        <v>0</v>
      </c>
      <c r="K491" s="1">
        <v>60000</v>
      </c>
      <c r="L491" s="1">
        <v>12364.08</v>
      </c>
      <c r="M491" s="8">
        <f t="shared" ca="1" si="14"/>
        <v>46011.04483136574</v>
      </c>
      <c r="N491" s="9" t="str">
        <f t="shared" si="15"/>
        <v>May</v>
      </c>
    </row>
    <row r="492" spans="1:14" x14ac:dyDescent="0.3">
      <c r="A492" s="1">
        <v>1491</v>
      </c>
      <c r="B492" s="2">
        <v>45391</v>
      </c>
      <c r="C492" s="1" t="s">
        <v>39</v>
      </c>
      <c r="D492" s="1" t="s">
        <v>40</v>
      </c>
      <c r="E492" s="1" t="s">
        <v>29</v>
      </c>
      <c r="F492" s="1" t="s">
        <v>33</v>
      </c>
      <c r="G492" s="1" t="s">
        <v>52</v>
      </c>
      <c r="H492" s="1">
        <v>12000</v>
      </c>
      <c r="I492" s="1">
        <v>2</v>
      </c>
      <c r="J492" s="1">
        <v>0.1</v>
      </c>
      <c r="K492" s="1">
        <v>21600</v>
      </c>
      <c r="L492" s="1">
        <v>3876.07</v>
      </c>
      <c r="M492" s="8">
        <f t="shared" ca="1" si="14"/>
        <v>46011.04483136574</v>
      </c>
      <c r="N492" s="9" t="str">
        <f t="shared" si="15"/>
        <v>Apr</v>
      </c>
    </row>
    <row r="493" spans="1:14" x14ac:dyDescent="0.3">
      <c r="A493" s="1">
        <v>1492</v>
      </c>
      <c r="B493" s="2">
        <v>45337</v>
      </c>
      <c r="C493" s="1" t="s">
        <v>48</v>
      </c>
      <c r="D493" s="1" t="s">
        <v>49</v>
      </c>
      <c r="E493" s="1" t="s">
        <v>14</v>
      </c>
      <c r="F493" s="1" t="s">
        <v>20</v>
      </c>
      <c r="G493" s="1" t="s">
        <v>21</v>
      </c>
      <c r="H493" s="1">
        <v>200</v>
      </c>
      <c r="I493" s="1">
        <v>5</v>
      </c>
      <c r="J493" s="1">
        <v>0.05</v>
      </c>
      <c r="K493" s="1">
        <v>950</v>
      </c>
      <c r="L493" s="1">
        <v>206.88</v>
      </c>
      <c r="M493" s="8">
        <f t="shared" ca="1" si="14"/>
        <v>46011.04483136574</v>
      </c>
      <c r="N493" s="9" t="str">
        <f t="shared" si="15"/>
        <v>Feb</v>
      </c>
    </row>
    <row r="494" spans="1:14" x14ac:dyDescent="0.3">
      <c r="A494" s="1">
        <v>1493</v>
      </c>
      <c r="B494" s="2">
        <v>45340</v>
      </c>
      <c r="C494" s="1" t="s">
        <v>25</v>
      </c>
      <c r="D494" s="1" t="s">
        <v>26</v>
      </c>
      <c r="E494" s="1" t="s">
        <v>19</v>
      </c>
      <c r="F494" s="1" t="s">
        <v>15</v>
      </c>
      <c r="G494" s="1" t="s">
        <v>16</v>
      </c>
      <c r="H494" s="1">
        <v>3000</v>
      </c>
      <c r="I494" s="1">
        <v>2</v>
      </c>
      <c r="J494" s="1">
        <v>0.05</v>
      </c>
      <c r="K494" s="1">
        <v>5700</v>
      </c>
      <c r="L494" s="1">
        <v>880.35</v>
      </c>
      <c r="M494" s="8">
        <f t="shared" ca="1" si="14"/>
        <v>46011.04483136574</v>
      </c>
      <c r="N494" s="9" t="str">
        <f t="shared" si="15"/>
        <v>Feb</v>
      </c>
    </row>
    <row r="495" spans="1:14" x14ac:dyDescent="0.3">
      <c r="A495" s="1">
        <v>1494</v>
      </c>
      <c r="B495" s="2">
        <v>45412</v>
      </c>
      <c r="C495" s="1" t="s">
        <v>39</v>
      </c>
      <c r="D495" s="1" t="s">
        <v>40</v>
      </c>
      <c r="E495" s="1" t="s">
        <v>14</v>
      </c>
      <c r="F495" s="1" t="s">
        <v>20</v>
      </c>
      <c r="G495" s="1" t="s">
        <v>38</v>
      </c>
      <c r="H495" s="1">
        <v>350</v>
      </c>
      <c r="I495" s="1">
        <v>2</v>
      </c>
      <c r="J495" s="1">
        <v>0</v>
      </c>
      <c r="K495" s="1">
        <v>700</v>
      </c>
      <c r="L495" s="1">
        <v>169.45</v>
      </c>
      <c r="M495" s="8">
        <f t="shared" ca="1" si="14"/>
        <v>46011.04483136574</v>
      </c>
      <c r="N495" s="9" t="str">
        <f t="shared" si="15"/>
        <v>Apr</v>
      </c>
    </row>
    <row r="496" spans="1:14" x14ac:dyDescent="0.3">
      <c r="A496" s="1">
        <v>1495</v>
      </c>
      <c r="B496" s="2">
        <v>45346</v>
      </c>
      <c r="C496" s="1" t="s">
        <v>50</v>
      </c>
      <c r="D496" s="1" t="s">
        <v>51</v>
      </c>
      <c r="E496" s="1" t="s">
        <v>32</v>
      </c>
      <c r="F496" s="1" t="s">
        <v>15</v>
      </c>
      <c r="G496" s="1" t="s">
        <v>35</v>
      </c>
      <c r="H496" s="1">
        <v>55000</v>
      </c>
      <c r="I496" s="1">
        <v>3</v>
      </c>
      <c r="J496" s="1">
        <v>0.05</v>
      </c>
      <c r="K496" s="1">
        <v>156750</v>
      </c>
      <c r="L496" s="1">
        <v>27357.19</v>
      </c>
      <c r="M496" s="8">
        <f t="shared" ca="1" si="14"/>
        <v>46011.04483136574</v>
      </c>
      <c r="N496" s="9" t="str">
        <f t="shared" si="15"/>
        <v>Feb</v>
      </c>
    </row>
    <row r="497" spans="1:14" x14ac:dyDescent="0.3">
      <c r="A497" s="1">
        <v>1496</v>
      </c>
      <c r="B497" s="2">
        <v>45343</v>
      </c>
      <c r="C497" s="1" t="s">
        <v>46</v>
      </c>
      <c r="D497" s="1" t="s">
        <v>47</v>
      </c>
      <c r="E497" s="1" t="s">
        <v>32</v>
      </c>
      <c r="F497" s="1" t="s">
        <v>15</v>
      </c>
      <c r="G497" s="1" t="s">
        <v>35</v>
      </c>
      <c r="H497" s="1">
        <v>55000</v>
      </c>
      <c r="I497" s="1">
        <v>1</v>
      </c>
      <c r="J497" s="1">
        <v>0</v>
      </c>
      <c r="K497" s="1">
        <v>55000</v>
      </c>
      <c r="L497" s="1">
        <v>8984.39</v>
      </c>
      <c r="M497" s="8">
        <f t="shared" ca="1" si="14"/>
        <v>46011.04483136574</v>
      </c>
      <c r="N497" s="9" t="str">
        <f t="shared" si="15"/>
        <v>Feb</v>
      </c>
    </row>
    <row r="498" spans="1:14" x14ac:dyDescent="0.3">
      <c r="A498" s="1">
        <v>1497</v>
      </c>
      <c r="B498" s="2">
        <v>45369</v>
      </c>
      <c r="C498" s="1" t="s">
        <v>30</v>
      </c>
      <c r="D498" s="1" t="s">
        <v>31</v>
      </c>
      <c r="E498" s="1" t="s">
        <v>14</v>
      </c>
      <c r="F498" s="1" t="s">
        <v>33</v>
      </c>
      <c r="G498" s="1" t="s">
        <v>43</v>
      </c>
      <c r="H498" s="1">
        <v>7500</v>
      </c>
      <c r="I498" s="1">
        <v>1</v>
      </c>
      <c r="J498" s="1">
        <v>0.15</v>
      </c>
      <c r="K498" s="1">
        <v>6375</v>
      </c>
      <c r="L498" s="1">
        <v>1207.74</v>
      </c>
      <c r="M498" s="8">
        <f t="shared" ca="1" si="14"/>
        <v>46011.04483136574</v>
      </c>
      <c r="N498" s="9" t="str">
        <f t="shared" si="15"/>
        <v>Mar</v>
      </c>
    </row>
    <row r="499" spans="1:14" x14ac:dyDescent="0.3">
      <c r="A499" s="1">
        <v>1498</v>
      </c>
      <c r="B499" s="2">
        <v>45322</v>
      </c>
      <c r="C499" s="1" t="s">
        <v>48</v>
      </c>
      <c r="D499" s="1" t="s">
        <v>49</v>
      </c>
      <c r="E499" s="1" t="s">
        <v>29</v>
      </c>
      <c r="F499" s="1" t="s">
        <v>33</v>
      </c>
      <c r="G499" s="1" t="s">
        <v>52</v>
      </c>
      <c r="H499" s="1">
        <v>12000</v>
      </c>
      <c r="I499" s="1">
        <v>1</v>
      </c>
      <c r="J499" s="1">
        <v>0.1</v>
      </c>
      <c r="K499" s="1">
        <v>10800</v>
      </c>
      <c r="L499" s="1">
        <v>2060.5700000000002</v>
      </c>
      <c r="M499" s="8">
        <f t="shared" ca="1" si="14"/>
        <v>46011.04483136574</v>
      </c>
      <c r="N499" s="9" t="str">
        <f t="shared" si="15"/>
        <v>Jan</v>
      </c>
    </row>
    <row r="500" spans="1:14" x14ac:dyDescent="0.3">
      <c r="A500" s="1">
        <v>1499</v>
      </c>
      <c r="B500" s="2">
        <v>45455</v>
      </c>
      <c r="C500" s="1" t="s">
        <v>41</v>
      </c>
      <c r="D500" s="1" t="s">
        <v>42</v>
      </c>
      <c r="E500" s="1" t="s">
        <v>32</v>
      </c>
      <c r="F500" s="1" t="s">
        <v>20</v>
      </c>
      <c r="G500" s="1" t="s">
        <v>45</v>
      </c>
      <c r="H500" s="1">
        <v>500</v>
      </c>
      <c r="I500" s="1">
        <v>5</v>
      </c>
      <c r="J500" s="1">
        <v>0</v>
      </c>
      <c r="K500" s="1">
        <v>2500</v>
      </c>
      <c r="L500" s="1">
        <v>593.55999999999995</v>
      </c>
      <c r="M500" s="8">
        <f t="shared" ca="1" si="14"/>
        <v>46011.04483136574</v>
      </c>
      <c r="N500" s="9" t="str">
        <f t="shared" si="15"/>
        <v>Jun</v>
      </c>
    </row>
    <row r="501" spans="1:14" x14ac:dyDescent="0.3">
      <c r="A501" s="1">
        <v>1500</v>
      </c>
      <c r="B501" s="2">
        <v>45441</v>
      </c>
      <c r="C501" s="1" t="s">
        <v>50</v>
      </c>
      <c r="D501" s="1" t="s">
        <v>51</v>
      </c>
      <c r="E501" s="1" t="s">
        <v>19</v>
      </c>
      <c r="F501" s="1" t="s">
        <v>33</v>
      </c>
      <c r="G501" s="1" t="s">
        <v>52</v>
      </c>
      <c r="H501" s="1">
        <v>12000</v>
      </c>
      <c r="I501" s="1">
        <v>2</v>
      </c>
      <c r="J501" s="1">
        <v>0.1</v>
      </c>
      <c r="K501" s="1">
        <v>21600</v>
      </c>
      <c r="L501" s="1">
        <v>5175.4799999999996</v>
      </c>
      <c r="M501" s="8">
        <f t="shared" ca="1" si="14"/>
        <v>46011.04483136574</v>
      </c>
      <c r="N501" s="9" t="str">
        <f t="shared" si="15"/>
        <v>May</v>
      </c>
    </row>
    <row r="503" spans="1:14" ht="31.2" x14ac:dyDescent="0.6">
      <c r="K503" s="11">
        <f>SUM(K2:K501)</f>
        <v>16175150</v>
      </c>
      <c r="L503" s="11">
        <f>SUM(L2:L501)</f>
        <v>3882077.3000000003</v>
      </c>
    </row>
  </sheetData>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0929-792B-4DB0-BA3B-FE4F20F34F08}">
  <dimension ref="A3:B14"/>
  <sheetViews>
    <sheetView workbookViewId="0">
      <selection activeCell="A4" sqref="A4:B13"/>
    </sheetView>
  </sheetViews>
  <sheetFormatPr defaultRowHeight="14.4" x14ac:dyDescent="0.3"/>
  <cols>
    <col min="1" max="1" width="13.5546875" bestFit="1" customWidth="1"/>
    <col min="2" max="2" width="19.77734375" bestFit="1" customWidth="1"/>
    <col min="3" max="3" width="5.88671875" bestFit="1" customWidth="1"/>
    <col min="4" max="4" width="6" bestFit="1" customWidth="1"/>
    <col min="5" max="5" width="5.21875" bestFit="1" customWidth="1"/>
    <col min="6" max="6" width="10.77734375" bestFit="1" customWidth="1"/>
  </cols>
  <sheetData>
    <row r="3" spans="1:2" x14ac:dyDescent="0.3">
      <c r="A3" s="6" t="s">
        <v>91</v>
      </c>
      <c r="B3" t="s">
        <v>93</v>
      </c>
    </row>
    <row r="4" spans="1:2" x14ac:dyDescent="0.3">
      <c r="A4" s="7" t="s">
        <v>34</v>
      </c>
      <c r="B4">
        <v>1170400</v>
      </c>
    </row>
    <row r="5" spans="1:2" x14ac:dyDescent="0.3">
      <c r="A5" s="7" t="s">
        <v>38</v>
      </c>
      <c r="B5">
        <v>50155</v>
      </c>
    </row>
    <row r="6" spans="1:2" x14ac:dyDescent="0.3">
      <c r="A6" s="7" t="s">
        <v>16</v>
      </c>
      <c r="B6">
        <v>364800</v>
      </c>
    </row>
    <row r="7" spans="1:2" x14ac:dyDescent="0.3">
      <c r="A7" s="7" t="s">
        <v>35</v>
      </c>
      <c r="B7">
        <v>6193000</v>
      </c>
    </row>
    <row r="8" spans="1:2" x14ac:dyDescent="0.3">
      <c r="A8" s="7" t="s">
        <v>45</v>
      </c>
      <c r="B8">
        <v>65825</v>
      </c>
    </row>
    <row r="9" spans="1:2" x14ac:dyDescent="0.3">
      <c r="A9" s="7" t="s">
        <v>43</v>
      </c>
      <c r="B9">
        <v>1011750</v>
      </c>
    </row>
    <row r="10" spans="1:2" x14ac:dyDescent="0.3">
      <c r="A10" s="7" t="s">
        <v>21</v>
      </c>
      <c r="B10">
        <v>29720</v>
      </c>
    </row>
    <row r="11" spans="1:2" x14ac:dyDescent="0.3">
      <c r="A11" s="7" t="s">
        <v>24</v>
      </c>
      <c r="B11">
        <v>2899600</v>
      </c>
    </row>
    <row r="12" spans="1:2" x14ac:dyDescent="0.3">
      <c r="A12" s="7" t="s">
        <v>52</v>
      </c>
      <c r="B12">
        <v>1968000</v>
      </c>
    </row>
    <row r="13" spans="1:2" x14ac:dyDescent="0.3">
      <c r="A13" s="7" t="s">
        <v>44</v>
      </c>
      <c r="B13">
        <v>2421900</v>
      </c>
    </row>
    <row r="14" spans="1:2" x14ac:dyDescent="0.3">
      <c r="A14" s="7" t="s">
        <v>92</v>
      </c>
      <c r="B14" s="22">
        <v>16175150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B2D84-02F7-4F3D-B88B-B15AB7D81C1B}">
  <dimension ref="A3:B9"/>
  <sheetViews>
    <sheetView workbookViewId="0">
      <selection activeCell="A4" sqref="A4:B15"/>
    </sheetView>
  </sheetViews>
  <sheetFormatPr defaultRowHeight="14.4" x14ac:dyDescent="0.3"/>
  <cols>
    <col min="1" max="1" width="12.5546875" bestFit="1" customWidth="1"/>
    <col min="2" max="2" width="19.77734375" bestFit="1" customWidth="1"/>
  </cols>
  <sheetData>
    <row r="3" spans="1:2" x14ac:dyDescent="0.3">
      <c r="A3" s="6" t="s">
        <v>91</v>
      </c>
      <c r="B3" t="s">
        <v>93</v>
      </c>
    </row>
    <row r="4" spans="1:2" x14ac:dyDescent="0.3">
      <c r="A4" s="7" t="s">
        <v>51</v>
      </c>
      <c r="B4">
        <v>1956842.5</v>
      </c>
    </row>
    <row r="5" spans="1:2" x14ac:dyDescent="0.3">
      <c r="A5" s="7" t="s">
        <v>49</v>
      </c>
      <c r="B5">
        <v>1530687.5</v>
      </c>
    </row>
    <row r="6" spans="1:2" x14ac:dyDescent="0.3">
      <c r="A6" s="7" t="s">
        <v>23</v>
      </c>
      <c r="B6">
        <v>1382865</v>
      </c>
    </row>
    <row r="7" spans="1:2" x14ac:dyDescent="0.3">
      <c r="A7" s="7" t="s">
        <v>37</v>
      </c>
      <c r="B7">
        <v>1353315</v>
      </c>
    </row>
    <row r="8" spans="1:2" x14ac:dyDescent="0.3">
      <c r="A8" s="7" t="s">
        <v>26</v>
      </c>
      <c r="B8">
        <v>2181742.5</v>
      </c>
    </row>
    <row r="9" spans="1:2" x14ac:dyDescent="0.3">
      <c r="A9" s="7" t="s">
        <v>92</v>
      </c>
      <c r="B9" s="23">
        <v>8405452.5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46805-6A2F-4E07-9CBA-D39BA23C93D6}">
  <dimension ref="A3:B8"/>
  <sheetViews>
    <sheetView workbookViewId="0">
      <selection activeCell="B19" sqref="B19"/>
    </sheetView>
  </sheetViews>
  <sheetFormatPr defaultRowHeight="14.4" x14ac:dyDescent="0.3"/>
  <cols>
    <col min="1" max="1" width="12.5546875" bestFit="1" customWidth="1"/>
    <col min="2" max="2" width="19.77734375" bestFit="1" customWidth="1"/>
  </cols>
  <sheetData>
    <row r="3" spans="1:2" x14ac:dyDescent="0.3">
      <c r="A3" s="6" t="s">
        <v>91</v>
      </c>
      <c r="B3" t="s">
        <v>93</v>
      </c>
    </row>
    <row r="4" spans="1:2" x14ac:dyDescent="0.3">
      <c r="A4" s="7" t="s">
        <v>32</v>
      </c>
      <c r="B4">
        <v>4239027.5</v>
      </c>
    </row>
    <row r="5" spans="1:2" x14ac:dyDescent="0.3">
      <c r="A5" s="7" t="s">
        <v>29</v>
      </c>
      <c r="B5">
        <v>4143655</v>
      </c>
    </row>
    <row r="6" spans="1:2" x14ac:dyDescent="0.3">
      <c r="A6" s="7" t="s">
        <v>19</v>
      </c>
      <c r="B6">
        <v>3926092.5</v>
      </c>
    </row>
    <row r="7" spans="1:2" x14ac:dyDescent="0.3">
      <c r="A7" s="7" t="s">
        <v>14</v>
      </c>
      <c r="B7">
        <v>3866375</v>
      </c>
    </row>
    <row r="8" spans="1:2" x14ac:dyDescent="0.3">
      <c r="A8" s="7" t="s">
        <v>92</v>
      </c>
      <c r="B8">
        <v>16175150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A4EDB-C048-49AF-93B5-35CCCD73444E}">
  <dimension ref="A3:C9"/>
  <sheetViews>
    <sheetView workbookViewId="0">
      <selection activeCell="N14" sqref="N14"/>
    </sheetView>
  </sheetViews>
  <sheetFormatPr defaultRowHeight="14.4" x14ac:dyDescent="0.3"/>
  <cols>
    <col min="1" max="1" width="12.5546875" bestFit="1" customWidth="1"/>
    <col min="2" max="2" width="19.77734375" bestFit="1" customWidth="1"/>
    <col min="3" max="3" width="12.109375" bestFit="1" customWidth="1"/>
  </cols>
  <sheetData>
    <row r="3" spans="1:3" x14ac:dyDescent="0.3">
      <c r="A3" s="6" t="s">
        <v>91</v>
      </c>
      <c r="B3" t="s">
        <v>93</v>
      </c>
      <c r="C3" t="s">
        <v>94</v>
      </c>
    </row>
    <row r="4" spans="1:3" x14ac:dyDescent="0.3">
      <c r="A4" s="7" t="s">
        <v>34</v>
      </c>
      <c r="B4">
        <v>1170400</v>
      </c>
      <c r="C4">
        <v>281024.98000000004</v>
      </c>
    </row>
    <row r="5" spans="1:3" x14ac:dyDescent="0.3">
      <c r="A5" s="7" t="s">
        <v>35</v>
      </c>
      <c r="B5">
        <v>6193000</v>
      </c>
      <c r="C5">
        <v>1435790.7199999997</v>
      </c>
    </row>
    <row r="6" spans="1:3" x14ac:dyDescent="0.3">
      <c r="A6" s="7" t="s">
        <v>24</v>
      </c>
      <c r="B6">
        <v>2899600</v>
      </c>
      <c r="C6">
        <v>693169.98999999987</v>
      </c>
    </row>
    <row r="7" spans="1:3" x14ac:dyDescent="0.3">
      <c r="A7" s="7" t="s">
        <v>52</v>
      </c>
      <c r="B7">
        <v>1968000</v>
      </c>
      <c r="C7">
        <v>472485.45999999996</v>
      </c>
    </row>
    <row r="8" spans="1:3" x14ac:dyDescent="0.3">
      <c r="A8" s="7" t="s">
        <v>44</v>
      </c>
      <c r="B8">
        <v>2421900</v>
      </c>
      <c r="C8">
        <v>602363.21000000008</v>
      </c>
    </row>
    <row r="9" spans="1:3" x14ac:dyDescent="0.3">
      <c r="A9" s="7" t="s">
        <v>92</v>
      </c>
      <c r="B9">
        <v>14652900</v>
      </c>
      <c r="C9">
        <v>3484834.3599999994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DE987-EDE1-4CFA-A15F-2E8620A6C95D}">
  <dimension ref="A3:B8"/>
  <sheetViews>
    <sheetView workbookViewId="0">
      <selection activeCell="I5" sqref="I5"/>
    </sheetView>
  </sheetViews>
  <sheetFormatPr defaultRowHeight="14.4" x14ac:dyDescent="0.3"/>
  <cols>
    <col min="1" max="1" width="12.5546875" bestFit="1" customWidth="1"/>
    <col min="2" max="2" width="19.88671875" bestFit="1" customWidth="1"/>
    <col min="3" max="3" width="23.21875" bestFit="1" customWidth="1"/>
  </cols>
  <sheetData>
    <row r="3" spans="1:2" x14ac:dyDescent="0.3">
      <c r="A3" s="6" t="s">
        <v>91</v>
      </c>
      <c r="B3" t="s">
        <v>95</v>
      </c>
    </row>
    <row r="4" spans="1:2" x14ac:dyDescent="0.3">
      <c r="A4" s="7" t="s">
        <v>32</v>
      </c>
      <c r="B4">
        <v>126</v>
      </c>
    </row>
    <row r="5" spans="1:2" x14ac:dyDescent="0.3">
      <c r="A5" s="7" t="s">
        <v>29</v>
      </c>
      <c r="B5">
        <v>123</v>
      </c>
    </row>
    <row r="6" spans="1:2" x14ac:dyDescent="0.3">
      <c r="A6" s="7" t="s">
        <v>19</v>
      </c>
      <c r="B6">
        <v>132</v>
      </c>
    </row>
    <row r="7" spans="1:2" x14ac:dyDescent="0.3">
      <c r="A7" s="7" t="s">
        <v>14</v>
      </c>
      <c r="B7">
        <v>119</v>
      </c>
    </row>
    <row r="8" spans="1:2" x14ac:dyDescent="0.3">
      <c r="A8" s="7" t="s">
        <v>92</v>
      </c>
      <c r="B8">
        <v>500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01FAA-F692-427E-99DF-AC087C2A8AB8}">
  <dimension ref="A3:B20"/>
  <sheetViews>
    <sheetView workbookViewId="0">
      <selection activeCell="D6" sqref="D6"/>
    </sheetView>
  </sheetViews>
  <sheetFormatPr defaultRowHeight="14.4" x14ac:dyDescent="0.3"/>
  <cols>
    <col min="1" max="1" width="12.5546875" bestFit="1" customWidth="1"/>
    <col min="2" max="2" width="30.33203125" bestFit="1" customWidth="1"/>
    <col min="3" max="3" width="24.33203125" bestFit="1" customWidth="1"/>
  </cols>
  <sheetData>
    <row r="3" spans="1:2" x14ac:dyDescent="0.3">
      <c r="A3" s="6" t="s">
        <v>91</v>
      </c>
      <c r="B3" t="s">
        <v>94</v>
      </c>
    </row>
    <row r="4" spans="1:2" x14ac:dyDescent="0.3">
      <c r="A4" s="7" t="s">
        <v>32</v>
      </c>
      <c r="B4">
        <v>993392.14999999956</v>
      </c>
    </row>
    <row r="5" spans="1:2" ht="31.2" x14ac:dyDescent="0.6">
      <c r="A5" s="7" t="s">
        <v>29</v>
      </c>
      <c r="B5">
        <v>1003030.53</v>
      </c>
    </row>
    <row r="6" spans="1:2" x14ac:dyDescent="0.3">
      <c r="A6" s="7" t="s">
        <v>19</v>
      </c>
      <c r="B6">
        <v>929241.75999999978</v>
      </c>
    </row>
    <row r="7" spans="1:2" x14ac:dyDescent="0.3">
      <c r="A7" s="7" t="s">
        <v>14</v>
      </c>
      <c r="B7">
        <v>956412.86</v>
      </c>
    </row>
    <row r="8" spans="1:2" ht="31.2" x14ac:dyDescent="0.6">
      <c r="A8" s="7" t="s">
        <v>92</v>
      </c>
      <c r="B8" s="12">
        <v>3882077.2999999993</v>
      </c>
    </row>
    <row r="20" spans="2:2" x14ac:dyDescent="0.3">
      <c r="B20">
        <f>GETPIVOTDATA("Profit",$A$3)</f>
        <v>3882077.2999999993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473C4-BBE0-4B75-85C0-5019DA94C7DD}">
  <dimension ref="A3:B7"/>
  <sheetViews>
    <sheetView workbookViewId="0">
      <selection activeCell="D10" sqref="D10"/>
    </sheetView>
  </sheetViews>
  <sheetFormatPr defaultRowHeight="14.4" x14ac:dyDescent="0.3"/>
  <cols>
    <col min="1" max="1" width="12.5546875" bestFit="1" customWidth="1"/>
    <col min="2" max="2" width="16.21875" bestFit="1" customWidth="1"/>
    <col min="3" max="3" width="24.33203125" bestFit="1" customWidth="1"/>
    <col min="4" max="4" width="9.6640625" bestFit="1" customWidth="1"/>
    <col min="5" max="5" width="10.77734375" bestFit="1" customWidth="1"/>
    <col min="6" max="6" width="14" bestFit="1" customWidth="1"/>
    <col min="7" max="7" width="10.77734375" bestFit="1" customWidth="1"/>
    <col min="8" max="8" width="7.33203125" bestFit="1" customWidth="1"/>
    <col min="9" max="9" width="11.44140625" bestFit="1" customWidth="1"/>
    <col min="10" max="10" width="10.88671875" bestFit="1" customWidth="1"/>
    <col min="11" max="11" width="7" bestFit="1" customWidth="1"/>
    <col min="12" max="12" width="10.77734375" bestFit="1" customWidth="1"/>
  </cols>
  <sheetData>
    <row r="3" spans="1:2" x14ac:dyDescent="0.3">
      <c r="A3" s="6" t="s">
        <v>91</v>
      </c>
      <c r="B3" t="s">
        <v>96</v>
      </c>
    </row>
    <row r="4" spans="1:2" x14ac:dyDescent="0.3">
      <c r="A4" s="7" t="s">
        <v>15</v>
      </c>
      <c r="B4">
        <v>4517000</v>
      </c>
    </row>
    <row r="5" spans="1:2" x14ac:dyDescent="0.3">
      <c r="A5" s="7" t="s">
        <v>33</v>
      </c>
      <c r="B5">
        <v>1597000</v>
      </c>
    </row>
    <row r="6" spans="1:2" x14ac:dyDescent="0.3">
      <c r="A6" s="7" t="s">
        <v>20</v>
      </c>
      <c r="B6">
        <v>51500</v>
      </c>
    </row>
    <row r="7" spans="1:2" x14ac:dyDescent="0.3">
      <c r="A7" s="7" t="s">
        <v>92</v>
      </c>
      <c r="B7">
        <v>6165500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E80C8-2680-4E37-9EF1-08AA88CFE3C5}">
  <dimension ref="A3:C10"/>
  <sheetViews>
    <sheetView workbookViewId="0">
      <selection activeCell="H2" sqref="H2"/>
    </sheetView>
  </sheetViews>
  <sheetFormatPr defaultRowHeight="14.4" x14ac:dyDescent="0.3"/>
  <cols>
    <col min="1" max="1" width="12.5546875" bestFit="1" customWidth="1"/>
    <col min="2" max="2" width="19.77734375" bestFit="1" customWidth="1"/>
    <col min="3" max="3" width="12.109375" bestFit="1" customWidth="1"/>
  </cols>
  <sheetData>
    <row r="3" spans="1:3" x14ac:dyDescent="0.3">
      <c r="A3" s="6" t="s">
        <v>91</v>
      </c>
      <c r="B3" t="s">
        <v>93</v>
      </c>
      <c r="C3" t="s">
        <v>94</v>
      </c>
    </row>
    <row r="4" spans="1:3" x14ac:dyDescent="0.3">
      <c r="A4" s="7" t="s">
        <v>99</v>
      </c>
      <c r="B4">
        <v>3070497.5</v>
      </c>
      <c r="C4">
        <v>729626.36</v>
      </c>
    </row>
    <row r="5" spans="1:3" x14ac:dyDescent="0.3">
      <c r="A5" s="7" t="s">
        <v>100</v>
      </c>
      <c r="B5">
        <v>3068972.5</v>
      </c>
      <c r="C5">
        <v>699144.90999999992</v>
      </c>
    </row>
    <row r="6" spans="1:3" x14ac:dyDescent="0.3">
      <c r="A6" s="7" t="s">
        <v>101</v>
      </c>
      <c r="B6">
        <v>2224222.5</v>
      </c>
      <c r="C6">
        <v>553055.02999999991</v>
      </c>
    </row>
    <row r="7" spans="1:3" x14ac:dyDescent="0.3">
      <c r="A7" s="7" t="s">
        <v>102</v>
      </c>
      <c r="B7">
        <v>3040302.5</v>
      </c>
      <c r="C7">
        <v>723422.62999999977</v>
      </c>
    </row>
    <row r="8" spans="1:3" x14ac:dyDescent="0.3">
      <c r="A8" s="7" t="s">
        <v>103</v>
      </c>
      <c r="B8">
        <v>2355237.5</v>
      </c>
      <c r="C8">
        <v>555619.25999999989</v>
      </c>
    </row>
    <row r="9" spans="1:3" x14ac:dyDescent="0.3">
      <c r="A9" s="7" t="s">
        <v>104</v>
      </c>
      <c r="B9">
        <v>2415917.5</v>
      </c>
      <c r="C9">
        <v>621209.11000000022</v>
      </c>
    </row>
    <row r="10" spans="1:3" x14ac:dyDescent="0.3">
      <c r="A10" s="7" t="s">
        <v>92</v>
      </c>
      <c r="B10">
        <v>16175150</v>
      </c>
      <c r="C10">
        <v>3882077.3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statistics</vt:lpstr>
      <vt:lpstr>Regrression</vt:lpstr>
      <vt:lpstr>Sales_Data</vt:lpstr>
      <vt:lpstr>product vs sales</vt:lpstr>
      <vt:lpstr>top customers</vt:lpstr>
      <vt:lpstr>sales by region</vt:lpstr>
      <vt:lpstr>product vs profit</vt:lpstr>
      <vt:lpstr>Region vs customer</vt:lpstr>
      <vt:lpstr>Region vs profit</vt:lpstr>
      <vt:lpstr>category wise sales</vt:lpstr>
      <vt:lpstr>Sheet15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ibhrahim ansari</cp:lastModifiedBy>
  <dcterms:created xsi:type="dcterms:W3CDTF">2025-12-19T12:05:26Z</dcterms:created>
  <dcterms:modified xsi:type="dcterms:W3CDTF">2025-12-19T19:34:43Z</dcterms:modified>
</cp:coreProperties>
</file>